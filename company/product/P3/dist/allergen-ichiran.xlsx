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品目リスト" sheetId="2" state="visible" r:id="rId2"/>
    <sheet xmlns:r="http://schemas.openxmlformats.org/officeDocument/2006/relationships" name="入力" sheetId="3" state="visible" r:id="rId3"/>
    <sheet xmlns:r="http://schemas.openxmlformats.org/officeDocument/2006/relationships" name="お客様用" sheetId="4" state="visible" r:id="rId4"/>
  </sheets>
  <definedNames>
    <definedName name="_xlnm.Print_Titles" localSheetId="3">'お客様用'!$1:$5</definedName>
    <definedName name="_xlnm.Print_Area" localSheetId="3">'お客様用'!$A$1:$AF$55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yyyy/m/d"/>
  </numFmts>
  <fonts count="7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sz val="10"/>
    </font>
    <font>
      <name val="Meiryo"/>
      <b val="1"/>
      <sz val="12"/>
    </font>
    <font>
      <name val="Meiryo"/>
      <b val="1"/>
      <sz val="10"/>
    </font>
    <font>
      <name val="Meiryo"/>
      <b val="1"/>
      <color rgb="00C00000"/>
      <sz val="10"/>
    </font>
    <font>
      <name val="Meiryo"/>
      <b val="1"/>
      <sz val="1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4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5" borderId="1" applyAlignment="1" pivotButton="0" quotePrefix="0" xfId="0">
      <alignment horizontal="center" vertical="bottom" textRotation="255"/>
    </xf>
    <xf numFmtId="0" fontId="4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textRotation="255"/>
    </xf>
    <xf numFmtId="0" fontId="2" fillId="2" borderId="2" applyAlignment="1" pivotButton="0" quotePrefix="0" xfId="0">
      <alignment horizontal="center" vertical="center" textRotation="255"/>
    </xf>
    <xf numFmtId="0" fontId="4" fillId="2" borderId="1" applyAlignment="1" pivotButton="0" quotePrefix="0" xfId="0">
      <alignment horizontal="center" vertical="bottom" textRotation="255"/>
    </xf>
    <xf numFmtId="0" fontId="4" fillId="2" borderId="2" applyAlignment="1" pivotButton="0" quotePrefix="0" xfId="0">
      <alignment horizontal="center" vertical="bottom" textRotation="255"/>
    </xf>
    <xf numFmtId="166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50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アレルゲン一覧表（特定原材料等29品目）</t>
        </is>
      </c>
    </row>
    <row r="2">
      <c r="A2" s="2" t="inlineStr">
        <is>
          <t>お店のメニューごとに、アレルギーの原因となる食品（消費者庁の資料による特定原材料等の29品目）が入っているかを一覧にして、お客様に見せるための表です。</t>
        </is>
      </c>
    </row>
    <row r="3">
      <c r="A3" s="2" t="inlineStr"/>
    </row>
    <row r="4">
      <c r="A4" s="3" t="inlineStr">
        <is>
          <t>■ 必ずお読みください</t>
        </is>
      </c>
    </row>
    <row r="5">
      <c r="A5" s="4" t="inlineStr">
        <is>
          <t>1. 飲食店のアレルギー表示は、法律上の義務ではありません。この表は、お店が自主的にお客様へ情報を提供するためのものです。</t>
        </is>
      </c>
    </row>
    <row r="6">
      <c r="A6" s="4" t="inlineStr">
        <is>
          <t>2. 表の内容（○・－・？）の最終確認は、お店（この表をお使いの方）が行ってください。制作者は、個々のメニューの原材料を確認していません。</t>
        </is>
      </c>
    </row>
    <row r="7">
      <c r="A7" s="2" t="inlineStr">
        <is>
          <t>3. 仕入れ先・原材料・レシピを変えたら、そのたびに表を更新し、「最終確認日」を書き換えてください。同じ名前の食品でも、メーカーによって原材料が違うことがあります。</t>
        </is>
      </c>
    </row>
    <row r="8">
      <c r="A8" s="2" t="inlineStr">
        <is>
          <t>4. 調理器具・揚げ油・まな板などの共用により、「－」の品目が混ざる可能性があります。お客様用の表にもその旨を書いています。具体的な共用（例：揚げ油を共用）は「備考」に書いてください。</t>
        </is>
      </c>
    </row>
    <row r="9">
      <c r="A9" s="4" t="inlineStr">
        <is>
          <t>5. 重いアレルギーのあるお客様には、表だけで判断せず、スタッフに相談していただくよう伝えてください。</t>
        </is>
      </c>
    </row>
    <row r="10">
      <c r="A10" s="2" t="inlineStr">
        <is>
          <t>6. 29品目以外の食品にアレルギーのある方もいます。表にない食品は、お客様ごとに確認してください。</t>
        </is>
      </c>
    </row>
    <row r="11">
      <c r="A11" s="2" t="inlineStr">
        <is>
          <t>7. 品目は2026年4月時点の消費者庁の資料に基づいています（特定原材料9品目＋特定原材料に準ずるもの20品目）。最新の品目は消費者庁のページで確認してください。</t>
        </is>
      </c>
    </row>
    <row r="12">
      <c r="A12" s="2" t="inlineStr">
        <is>
          <t xml:space="preserve">　消費者庁「食物アレルギー表示に関する情報」 https://www.caa.go.jp/policies/policy/food_labeling/food_sanitation/allergy/index.html</t>
        </is>
      </c>
    </row>
    <row r="13">
      <c r="A13" s="2" t="inlineStr"/>
    </row>
    <row r="14">
      <c r="A14" s="3" t="inlineStr">
        <is>
          <t>■ シートの説明</t>
        </is>
      </c>
    </row>
    <row r="15">
      <c r="A15" s="2" t="inlineStr">
        <is>
          <t>・品目リスト … 29品目の区分（義務／推奨）・日本語名・英語名・中国語（簡体字）名・韓国語名。ここを直すと、入力とお客様用の見出しに自動で反映されます。</t>
        </is>
      </c>
    </row>
    <row r="16">
      <c r="A16" s="2" t="inlineStr">
        <is>
          <t>・入力 … メニューごとに29品目を ○／－／？ で入力します（最大50品）。お店の中で使うシートです。</t>
        </is>
      </c>
    </row>
    <row r="17">
      <c r="A17" s="2" t="inlineStr">
        <is>
          <t>・お客様用 … 入力の内容から自動で作られる、お客様に見せる表です（A4横で印刷）。このシートには入力しないでください。</t>
        </is>
      </c>
    </row>
    <row r="18">
      <c r="A18" s="2" t="inlineStr"/>
    </row>
    <row r="19">
      <c r="A19" s="3" t="inlineStr">
        <is>
          <t>■ 使い方</t>
        </is>
      </c>
    </row>
    <row r="20">
      <c r="A20" s="2" t="inlineStr">
        <is>
          <t>1. 「入力」シートの B2 に店名を入れます（お客様用の表題になります）。</t>
        </is>
      </c>
    </row>
    <row r="21">
      <c r="A21" s="2" t="inlineStr">
        <is>
          <t>2. 見本の3行（鶏の唐揚げ・野菜サラダ・ざるそば）の内容を消します。行の削除はしないでください（セルを選んで Delete キーで内容だけ消す）。行を削除すると、お客様用の表がずれたりエラーになったりします。</t>
        </is>
      </c>
    </row>
    <row r="22">
      <c r="A22" s="2" t="inlineStr">
        <is>
          <t>3. メニュー名を上から詰めて入力します（途中に空いた行があると、お客様用にも空いた行が出ます）。</t>
        </is>
      </c>
    </row>
    <row r="23">
      <c r="A23" s="2" t="inlineStr">
        <is>
          <t>4. 29品目それぞれに、プルダウンで ○（含む）／－（含まない）／？（未確認）を選びます。わからないものは「？」にして、あとで原材料の表示や仕入れ先の資料で確認します。</t>
        </is>
      </c>
    </row>
    <row r="24">
      <c r="A24" s="2" t="inlineStr">
        <is>
          <t>5. 「最終確認日」（例：2026/10/11）と「確認者」を入れます。「備考」には調理器具・揚げ油の共用などを書きます。</t>
        </is>
      </c>
    </row>
    <row r="25">
      <c r="A25" s="2" t="inlineStr">
        <is>
          <t>6. 右端の「状態」がすべて「確認済み」になったら、「お客様用」シートを印刷します。</t>
        </is>
      </c>
    </row>
    <row r="26">
      <c r="A26" s="2" t="inlineStr"/>
    </row>
    <row r="27">
      <c r="A27" s="3" t="inlineStr">
        <is>
          <t>■ 「状態」の意味（入力シートの右端）</t>
        </is>
      </c>
    </row>
    <row r="28">
      <c r="A28" s="2" t="inlineStr">
        <is>
          <t>・確認済み … 29品目すべてが ○ か －、確認日と確認者も入っている</t>
        </is>
      </c>
    </row>
    <row r="29">
      <c r="A29" s="2" t="inlineStr">
        <is>
          <t>・未確認あり … 「？」または空欄が残っている。お客様用では、その品目が「？」になり、備考に「※未確認あり。」と出ます</t>
        </is>
      </c>
    </row>
    <row r="30">
      <c r="A30" s="2" t="inlineStr">
        <is>
          <t>・確認日なし／確認者なし … 最終確認日・確認者が空欄</t>
        </is>
      </c>
    </row>
    <row r="31">
      <c r="A31" s="2" t="inlineStr">
        <is>
          <t>・入力値エラー … ○ － ？ 以外の文字が入っている（貼り付けなど）。プルダウンで選び直してください。お客様用では「？」になります</t>
        </is>
      </c>
    </row>
    <row r="32">
      <c r="A32" s="2" t="inlineStr">
        <is>
          <t>・メニュー名なし … 品目は入っているのに、メニュー名が空欄（お客様用には出ません）</t>
        </is>
      </c>
    </row>
    <row r="33">
      <c r="A33" s="2" t="inlineStr"/>
    </row>
    <row r="34">
      <c r="A34" s="3" t="inlineStr">
        <is>
          <t>■ 印刷（お客様用シート）</t>
        </is>
      </c>
    </row>
    <row r="35">
      <c r="A35" s="2" t="inlineStr">
        <is>
          <t>・Excel：お客様用シートを開き、ファイル → 印刷。用紙 A4・横・拡大縮小なし（100%）。見出しと注意書きは各ページに印刷されます。メニューが少ないときは、印刷するページを指定してください（例：1ページ目だけ）。</t>
        </is>
      </c>
    </row>
    <row r="36">
      <c r="A36" s="2" t="inlineStr">
        <is>
          <t>・Google スプレッドシート：ファイル → 印刷 →「現在のシート」、用紙サイズ A4、ページの向き 横、スケール「標準（100%）」、「ヘッダーとフッター」の「固定行を繰り返す」をオン。</t>
        </is>
      </c>
    </row>
    <row r="37">
      <c r="A37" s="2" t="inlineStr">
        <is>
          <t>・文字は印刷時に10ポイント以上になるように作っています。縮小して印刷すると小さくなります。</t>
        </is>
      </c>
    </row>
    <row r="38">
      <c r="A38" s="2" t="inlineStr"/>
    </row>
    <row r="39">
      <c r="A39" s="3" t="inlineStr">
        <is>
          <t>■ 品目を直すとき</t>
        </is>
      </c>
    </row>
    <row r="40">
      <c r="A40" s="2" t="inlineStr">
        <is>
          <t>・品目の名前・区分・訳は「品目リスト」シートだけを直してください。入力とお客様用の見出しに自動で反映されます。</t>
        </is>
      </c>
    </row>
    <row r="41">
      <c r="A41" s="2" t="inlineStr">
        <is>
          <t>・品目の数（29）が変わる改正があった場合は、列の追加が必要なため、このファイルでは自動で対応できません。</t>
        </is>
      </c>
    </row>
    <row r="42">
      <c r="A42" s="2" t="inlineStr">
        <is>
          <t>・英語・中国語（簡体字）・韓国語の名前は参考訳です。掲示に使う前に、ご自身または詳しい方が確認してください。</t>
        </is>
      </c>
    </row>
    <row r="43">
      <c r="A43" s="2" t="inlineStr"/>
    </row>
    <row r="44">
      <c r="A44" s="3" t="inlineStr">
        <is>
          <t>■ Google スプレッドシートで使うとき</t>
        </is>
      </c>
    </row>
    <row r="45">
      <c r="A45" s="2" t="inlineStr">
        <is>
          <t>・Google ドライブにアップロードし、「Google スプレッドシートで開く」→ ファイル →「Google スプレッドシートとして保存」。</t>
        </is>
      </c>
    </row>
    <row r="46">
      <c r="A46" s="2" t="inlineStr">
        <is>
          <t>・スマートフォンでもプルダウンから選べます（プルダウンの作成・変更はパソコンが必要です）。</t>
        </is>
      </c>
    </row>
    <row r="47">
      <c r="A47" s="2" t="inlineStr"/>
    </row>
    <row r="48">
      <c r="A48" s="3" t="inlineStr">
        <is>
          <t>■ その他</t>
        </is>
      </c>
    </row>
    <row r="49">
      <c r="A49" s="2" t="inlineStr">
        <is>
          <t>・色の付いたセル（区分・品目名・状態・お客様用シート）は自動計算です。消したり上書きしたりしないでください。シートの保護はしていません。</t>
        </is>
      </c>
    </row>
    <row r="50">
      <c r="A50" s="2" t="inlineStr">
        <is>
          <t>・見本の店名「〇〇食堂（見本）」と3品のメニューは架空のものです。見本の ○／－ は「見本の架空データ。実際のメニューには使えない」ものです。</t>
        </is>
      </c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18" customWidth="1" min="4" max="4"/>
    <col width="18" customWidth="1" min="5" max="5"/>
    <col width="16" customWidth="1" min="6" max="6"/>
    <col width="2" customWidth="1" min="8" max="8"/>
    <col width="10" customWidth="1" min="9" max="9"/>
    <col width="26" customWidth="1" min="10" max="10"/>
  </cols>
  <sheetData>
    <row r="1">
      <c r="A1" s="5" t="inlineStr">
        <is>
          <t>品目リスト（ここを直すと、入力・お客様用の見出しに反映されます）</t>
        </is>
      </c>
    </row>
    <row r="2">
      <c r="A2" s="6" t="inlineStr">
        <is>
          <t>品目は2026年4月時点の消費者庁の資料に基づく。最新の品目は消費者庁のページで確認してください。 https://www.caa.go.jp/policies/policy/food_labeling/food_sanitation/allergy/index.html</t>
        </is>
      </c>
    </row>
    <row r="3">
      <c r="A3" s="7" t="inlineStr">
        <is>
          <t>英語・中国語（簡体字）・韓国語の名前は参考訳です（ネイティブの確認はしていません）。区分：義務＝特定原材料（容器包装された加工食品で表示が義務の品目）、推奨＝特定原材料に準ずるもの（表示が推奨の品目）。</t>
        </is>
      </c>
    </row>
    <row r="4">
      <c r="A4" s="8" t="inlineStr">
        <is>
          <t>No</t>
        </is>
      </c>
      <c r="B4" s="8" t="inlineStr">
        <is>
          <t>区分</t>
        </is>
      </c>
      <c r="C4" s="8" t="inlineStr">
        <is>
          <t>日本語名</t>
        </is>
      </c>
      <c r="D4" s="8" t="inlineStr">
        <is>
          <t>英語名（参考訳）</t>
        </is>
      </c>
      <c r="E4" s="8" t="inlineStr">
        <is>
          <t>中国語簡体字名（参考訳）</t>
        </is>
      </c>
      <c r="F4" s="8" t="inlineStr">
        <is>
          <t>韓国語名（参考訳）</t>
        </is>
      </c>
      <c r="I4" s="8" t="inlineStr">
        <is>
          <t>入力の選択肢</t>
        </is>
      </c>
      <c r="J4" s="8" t="inlineStr">
        <is>
          <t>意味（この3つは変えないでください）</t>
        </is>
      </c>
    </row>
    <row r="5">
      <c r="A5" s="9" t="n">
        <v>1</v>
      </c>
      <c r="B5" s="9" t="inlineStr">
        <is>
          <t>義務</t>
        </is>
      </c>
      <c r="C5" s="10" t="inlineStr">
        <is>
          <t>えび</t>
        </is>
      </c>
      <c r="D5" s="10" t="inlineStr">
        <is>
          <t>Shrimp</t>
        </is>
      </c>
      <c r="E5" s="10" t="inlineStr">
        <is>
          <t>虾</t>
        </is>
      </c>
      <c r="F5" s="10" t="inlineStr">
        <is>
          <t>새우</t>
        </is>
      </c>
      <c r="I5" s="11" t="inlineStr">
        <is>
          <t>○</t>
        </is>
      </c>
      <c r="J5" s="12" t="inlineStr">
        <is>
          <t>含む</t>
        </is>
      </c>
    </row>
    <row r="6">
      <c r="A6" s="9" t="n">
        <v>2</v>
      </c>
      <c r="B6" s="9" t="inlineStr">
        <is>
          <t>義務</t>
        </is>
      </c>
      <c r="C6" s="10" t="inlineStr">
        <is>
          <t>かに</t>
        </is>
      </c>
      <c r="D6" s="10" t="inlineStr">
        <is>
          <t>Crab</t>
        </is>
      </c>
      <c r="E6" s="10" t="inlineStr">
        <is>
          <t>蟹</t>
        </is>
      </c>
      <c r="F6" s="10" t="inlineStr">
        <is>
          <t>게</t>
        </is>
      </c>
      <c r="I6" s="11" t="inlineStr">
        <is>
          <t>－</t>
        </is>
      </c>
      <c r="J6" s="12" t="inlineStr">
        <is>
          <t>含まない</t>
        </is>
      </c>
    </row>
    <row r="7">
      <c r="A7" s="9" t="n">
        <v>3</v>
      </c>
      <c r="B7" s="9" t="inlineStr">
        <is>
          <t>義務</t>
        </is>
      </c>
      <c r="C7" s="10" t="inlineStr">
        <is>
          <t>くるみ</t>
        </is>
      </c>
      <c r="D7" s="10" t="inlineStr">
        <is>
          <t>Walnut</t>
        </is>
      </c>
      <c r="E7" s="10" t="inlineStr">
        <is>
          <t>核桃</t>
        </is>
      </c>
      <c r="F7" s="10" t="inlineStr">
        <is>
          <t>호두</t>
        </is>
      </c>
      <c r="I7" s="11" t="inlineStr">
        <is>
          <t>？</t>
        </is>
      </c>
      <c r="J7" s="12" t="inlineStr">
        <is>
          <t>未確認</t>
        </is>
      </c>
    </row>
    <row r="8">
      <c r="A8" s="9" t="n">
        <v>4</v>
      </c>
      <c r="B8" s="9" t="inlineStr">
        <is>
          <t>義務</t>
        </is>
      </c>
      <c r="C8" s="10" t="inlineStr">
        <is>
          <t>小麦</t>
        </is>
      </c>
      <c r="D8" s="10" t="inlineStr">
        <is>
          <t>Wheat</t>
        </is>
      </c>
      <c r="E8" s="10" t="inlineStr">
        <is>
          <t>小麦</t>
        </is>
      </c>
      <c r="F8" s="10" t="inlineStr">
        <is>
          <t>밀</t>
        </is>
      </c>
    </row>
    <row r="9">
      <c r="A9" s="9" t="n">
        <v>5</v>
      </c>
      <c r="B9" s="9" t="inlineStr">
        <is>
          <t>義務</t>
        </is>
      </c>
      <c r="C9" s="10" t="inlineStr">
        <is>
          <t>そば</t>
        </is>
      </c>
      <c r="D9" s="10" t="inlineStr">
        <is>
          <t>Buckwheat</t>
        </is>
      </c>
      <c r="E9" s="10" t="inlineStr">
        <is>
          <t>荞麦</t>
        </is>
      </c>
      <c r="F9" s="10" t="inlineStr">
        <is>
          <t>메밀</t>
        </is>
      </c>
    </row>
    <row r="10">
      <c r="A10" s="9" t="n">
        <v>6</v>
      </c>
      <c r="B10" s="9" t="inlineStr">
        <is>
          <t>義務</t>
        </is>
      </c>
      <c r="C10" s="10" t="inlineStr">
        <is>
          <t>卵</t>
        </is>
      </c>
      <c r="D10" s="10" t="inlineStr">
        <is>
          <t>Egg</t>
        </is>
      </c>
      <c r="E10" s="10" t="inlineStr">
        <is>
          <t>鸡蛋</t>
        </is>
      </c>
      <c r="F10" s="10" t="inlineStr">
        <is>
          <t>달걀</t>
        </is>
      </c>
    </row>
    <row r="11">
      <c r="A11" s="9" t="n">
        <v>7</v>
      </c>
      <c r="B11" s="9" t="inlineStr">
        <is>
          <t>義務</t>
        </is>
      </c>
      <c r="C11" s="10" t="inlineStr">
        <is>
          <t>乳</t>
        </is>
      </c>
      <c r="D11" s="10" t="inlineStr">
        <is>
          <t>Milk</t>
        </is>
      </c>
      <c r="E11" s="10" t="inlineStr">
        <is>
          <t>乳制品</t>
        </is>
      </c>
      <c r="F11" s="10" t="inlineStr">
        <is>
          <t>우유</t>
        </is>
      </c>
    </row>
    <row r="12">
      <c r="A12" s="9" t="n">
        <v>8</v>
      </c>
      <c r="B12" s="9" t="inlineStr">
        <is>
          <t>義務</t>
        </is>
      </c>
      <c r="C12" s="10" t="inlineStr">
        <is>
          <t>落花生（ピーナッツ）</t>
        </is>
      </c>
      <c r="D12" s="10" t="inlineStr">
        <is>
          <t>Peanut</t>
        </is>
      </c>
      <c r="E12" s="10" t="inlineStr">
        <is>
          <t>花生</t>
        </is>
      </c>
      <c r="F12" s="10" t="inlineStr">
        <is>
          <t>땅콩</t>
        </is>
      </c>
    </row>
    <row r="13">
      <c r="A13" s="9" t="n">
        <v>9</v>
      </c>
      <c r="B13" s="9" t="inlineStr">
        <is>
          <t>義務</t>
        </is>
      </c>
      <c r="C13" s="10" t="inlineStr">
        <is>
          <t>カシューナッツ</t>
        </is>
      </c>
      <c r="D13" s="10" t="inlineStr">
        <is>
          <t>Cashew nut</t>
        </is>
      </c>
      <c r="E13" s="10" t="inlineStr">
        <is>
          <t>腰果</t>
        </is>
      </c>
      <c r="F13" s="10" t="inlineStr">
        <is>
          <t>캐슈너트</t>
        </is>
      </c>
    </row>
    <row r="14">
      <c r="A14" s="13" t="n">
        <v>10</v>
      </c>
      <c r="B14" s="13" t="inlineStr">
        <is>
          <t>推奨</t>
        </is>
      </c>
      <c r="C14" s="12" t="inlineStr">
        <is>
          <t>アーモンド</t>
        </is>
      </c>
      <c r="D14" s="12" t="inlineStr">
        <is>
          <t>Almond</t>
        </is>
      </c>
      <c r="E14" s="12" t="inlineStr">
        <is>
          <t>杏仁</t>
        </is>
      </c>
      <c r="F14" s="12" t="inlineStr">
        <is>
          <t>아몬드</t>
        </is>
      </c>
    </row>
    <row r="15">
      <c r="A15" s="13" t="n">
        <v>11</v>
      </c>
      <c r="B15" s="13" t="inlineStr">
        <is>
          <t>推奨</t>
        </is>
      </c>
      <c r="C15" s="12" t="inlineStr">
        <is>
          <t>あわび</t>
        </is>
      </c>
      <c r="D15" s="12" t="inlineStr">
        <is>
          <t>Abalone</t>
        </is>
      </c>
      <c r="E15" s="12" t="inlineStr">
        <is>
          <t>鲍鱼</t>
        </is>
      </c>
      <c r="F15" s="12" t="inlineStr">
        <is>
          <t>전복</t>
        </is>
      </c>
    </row>
    <row r="16">
      <c r="A16" s="13" t="n">
        <v>12</v>
      </c>
      <c r="B16" s="13" t="inlineStr">
        <is>
          <t>推奨</t>
        </is>
      </c>
      <c r="C16" s="12" t="inlineStr">
        <is>
          <t>いか</t>
        </is>
      </c>
      <c r="D16" s="12" t="inlineStr">
        <is>
          <t>Squid</t>
        </is>
      </c>
      <c r="E16" s="12" t="inlineStr">
        <is>
          <t>鱿鱼</t>
        </is>
      </c>
      <c r="F16" s="12" t="inlineStr">
        <is>
          <t>오징어</t>
        </is>
      </c>
    </row>
    <row r="17">
      <c r="A17" s="13" t="n">
        <v>13</v>
      </c>
      <c r="B17" s="13" t="inlineStr">
        <is>
          <t>推奨</t>
        </is>
      </c>
      <c r="C17" s="12" t="inlineStr">
        <is>
          <t>いくら</t>
        </is>
      </c>
      <c r="D17" s="12" t="inlineStr">
        <is>
          <t>Salmon roe</t>
        </is>
      </c>
      <c r="E17" s="12" t="inlineStr">
        <is>
          <t>鲑鱼子</t>
        </is>
      </c>
      <c r="F17" s="12" t="inlineStr">
        <is>
          <t>연어알</t>
        </is>
      </c>
    </row>
    <row r="18">
      <c r="A18" s="13" t="n">
        <v>14</v>
      </c>
      <c r="B18" s="13" t="inlineStr">
        <is>
          <t>推奨</t>
        </is>
      </c>
      <c r="C18" s="12" t="inlineStr">
        <is>
          <t>オレンジ</t>
        </is>
      </c>
      <c r="D18" s="12" t="inlineStr">
        <is>
          <t>Orange</t>
        </is>
      </c>
      <c r="E18" s="12" t="inlineStr">
        <is>
          <t>橙子</t>
        </is>
      </c>
      <c r="F18" s="12" t="inlineStr">
        <is>
          <t>오렌지</t>
        </is>
      </c>
    </row>
    <row r="19">
      <c r="A19" s="13" t="n">
        <v>15</v>
      </c>
      <c r="B19" s="13" t="inlineStr">
        <is>
          <t>推奨</t>
        </is>
      </c>
      <c r="C19" s="12" t="inlineStr">
        <is>
          <t>キウイフルーツ</t>
        </is>
      </c>
      <c r="D19" s="12" t="inlineStr">
        <is>
          <t>Kiwi fruit</t>
        </is>
      </c>
      <c r="E19" s="12" t="inlineStr">
        <is>
          <t>猕猴桃</t>
        </is>
      </c>
      <c r="F19" s="12" t="inlineStr">
        <is>
          <t>키위</t>
        </is>
      </c>
    </row>
    <row r="20">
      <c r="A20" s="13" t="n">
        <v>16</v>
      </c>
      <c r="B20" s="13" t="inlineStr">
        <is>
          <t>推奨</t>
        </is>
      </c>
      <c r="C20" s="12" t="inlineStr">
        <is>
          <t>牛肉</t>
        </is>
      </c>
      <c r="D20" s="12" t="inlineStr">
        <is>
          <t>Beef</t>
        </is>
      </c>
      <c r="E20" s="12" t="inlineStr">
        <is>
          <t>牛肉</t>
        </is>
      </c>
      <c r="F20" s="12" t="inlineStr">
        <is>
          <t>쇠고기</t>
        </is>
      </c>
    </row>
    <row r="21">
      <c r="A21" s="13" t="n">
        <v>17</v>
      </c>
      <c r="B21" s="13" t="inlineStr">
        <is>
          <t>推奨</t>
        </is>
      </c>
      <c r="C21" s="12" t="inlineStr">
        <is>
          <t>ごま</t>
        </is>
      </c>
      <c r="D21" s="12" t="inlineStr">
        <is>
          <t>Sesame</t>
        </is>
      </c>
      <c r="E21" s="12" t="inlineStr">
        <is>
          <t>芝麻</t>
        </is>
      </c>
      <c r="F21" s="12" t="inlineStr">
        <is>
          <t>참깨</t>
        </is>
      </c>
    </row>
    <row r="22">
      <c r="A22" s="13" t="n">
        <v>18</v>
      </c>
      <c r="B22" s="13" t="inlineStr">
        <is>
          <t>推奨</t>
        </is>
      </c>
      <c r="C22" s="12" t="inlineStr">
        <is>
          <t>さけ</t>
        </is>
      </c>
      <c r="D22" s="12" t="inlineStr">
        <is>
          <t>Salmon</t>
        </is>
      </c>
      <c r="E22" s="12" t="inlineStr">
        <is>
          <t>三文鱼</t>
        </is>
      </c>
      <c r="F22" s="12" t="inlineStr">
        <is>
          <t>연어</t>
        </is>
      </c>
    </row>
    <row r="23">
      <c r="A23" s="13" t="n">
        <v>19</v>
      </c>
      <c r="B23" s="13" t="inlineStr">
        <is>
          <t>推奨</t>
        </is>
      </c>
      <c r="C23" s="12" t="inlineStr">
        <is>
          <t>さば</t>
        </is>
      </c>
      <c r="D23" s="12" t="inlineStr">
        <is>
          <t>Mackerel</t>
        </is>
      </c>
      <c r="E23" s="12" t="inlineStr">
        <is>
          <t>青花鱼</t>
        </is>
      </c>
      <c r="F23" s="12" t="inlineStr">
        <is>
          <t>고등어</t>
        </is>
      </c>
    </row>
    <row r="24">
      <c r="A24" s="13" t="n">
        <v>20</v>
      </c>
      <c r="B24" s="13" t="inlineStr">
        <is>
          <t>推奨</t>
        </is>
      </c>
      <c r="C24" s="12" t="inlineStr">
        <is>
          <t>ゼラチン</t>
        </is>
      </c>
      <c r="D24" s="12" t="inlineStr">
        <is>
          <t>Gelatin</t>
        </is>
      </c>
      <c r="E24" s="12" t="inlineStr">
        <is>
          <t>明胶</t>
        </is>
      </c>
      <c r="F24" s="12" t="inlineStr">
        <is>
          <t>젤라틴</t>
        </is>
      </c>
    </row>
    <row r="25">
      <c r="A25" s="13" t="n">
        <v>21</v>
      </c>
      <c r="B25" s="13" t="inlineStr">
        <is>
          <t>推奨</t>
        </is>
      </c>
      <c r="C25" s="12" t="inlineStr">
        <is>
          <t>大豆</t>
        </is>
      </c>
      <c r="D25" s="12" t="inlineStr">
        <is>
          <t>Soybean</t>
        </is>
      </c>
      <c r="E25" s="12" t="inlineStr">
        <is>
          <t>大豆</t>
        </is>
      </c>
      <c r="F25" s="12" t="inlineStr">
        <is>
          <t>대두</t>
        </is>
      </c>
    </row>
    <row r="26">
      <c r="A26" s="13" t="n">
        <v>22</v>
      </c>
      <c r="B26" s="13" t="inlineStr">
        <is>
          <t>推奨</t>
        </is>
      </c>
      <c r="C26" s="12" t="inlineStr">
        <is>
          <t>鶏肉</t>
        </is>
      </c>
      <c r="D26" s="12" t="inlineStr">
        <is>
          <t>Chicken</t>
        </is>
      </c>
      <c r="E26" s="12" t="inlineStr">
        <is>
          <t>鸡肉</t>
        </is>
      </c>
      <c r="F26" s="12" t="inlineStr">
        <is>
          <t>닭고기</t>
        </is>
      </c>
    </row>
    <row r="27">
      <c r="A27" s="13" t="n">
        <v>23</v>
      </c>
      <c r="B27" s="13" t="inlineStr">
        <is>
          <t>推奨</t>
        </is>
      </c>
      <c r="C27" s="12" t="inlineStr">
        <is>
          <t>バナナ</t>
        </is>
      </c>
      <c r="D27" s="12" t="inlineStr">
        <is>
          <t>Banana</t>
        </is>
      </c>
      <c r="E27" s="12" t="inlineStr">
        <is>
          <t>香蕉</t>
        </is>
      </c>
      <c r="F27" s="12" t="inlineStr">
        <is>
          <t>바나나</t>
        </is>
      </c>
    </row>
    <row r="28">
      <c r="A28" s="13" t="n">
        <v>24</v>
      </c>
      <c r="B28" s="13" t="inlineStr">
        <is>
          <t>推奨</t>
        </is>
      </c>
      <c r="C28" s="12" t="inlineStr">
        <is>
          <t>ピスタチオ</t>
        </is>
      </c>
      <c r="D28" s="12" t="inlineStr">
        <is>
          <t>Pistachio</t>
        </is>
      </c>
      <c r="E28" s="12" t="inlineStr">
        <is>
          <t>开心果</t>
        </is>
      </c>
      <c r="F28" s="12" t="inlineStr">
        <is>
          <t>피스타치오</t>
        </is>
      </c>
    </row>
    <row r="29">
      <c r="A29" s="13" t="n">
        <v>25</v>
      </c>
      <c r="B29" s="13" t="inlineStr">
        <is>
          <t>推奨</t>
        </is>
      </c>
      <c r="C29" s="12" t="inlineStr">
        <is>
          <t>豚肉</t>
        </is>
      </c>
      <c r="D29" s="12" t="inlineStr">
        <is>
          <t>Pork</t>
        </is>
      </c>
      <c r="E29" s="12" t="inlineStr">
        <is>
          <t>猪肉</t>
        </is>
      </c>
      <c r="F29" s="12" t="inlineStr">
        <is>
          <t>돼지고기</t>
        </is>
      </c>
    </row>
    <row r="30">
      <c r="A30" s="13" t="n">
        <v>26</v>
      </c>
      <c r="B30" s="13" t="inlineStr">
        <is>
          <t>推奨</t>
        </is>
      </c>
      <c r="C30" s="12" t="inlineStr">
        <is>
          <t>マカダミアナッツ</t>
        </is>
      </c>
      <c r="D30" s="12" t="inlineStr">
        <is>
          <t>Macadamia nut</t>
        </is>
      </c>
      <c r="E30" s="12" t="inlineStr">
        <is>
          <t>夏威夷果</t>
        </is>
      </c>
      <c r="F30" s="12" t="inlineStr">
        <is>
          <t>마카다미아</t>
        </is>
      </c>
    </row>
    <row r="31">
      <c r="A31" s="13" t="n">
        <v>27</v>
      </c>
      <c r="B31" s="13" t="inlineStr">
        <is>
          <t>推奨</t>
        </is>
      </c>
      <c r="C31" s="12" t="inlineStr">
        <is>
          <t>もも</t>
        </is>
      </c>
      <c r="D31" s="12" t="inlineStr">
        <is>
          <t>Peach</t>
        </is>
      </c>
      <c r="E31" s="12" t="inlineStr">
        <is>
          <t>桃子</t>
        </is>
      </c>
      <c r="F31" s="12" t="inlineStr">
        <is>
          <t>복숭아</t>
        </is>
      </c>
    </row>
    <row r="32">
      <c r="A32" s="13" t="n">
        <v>28</v>
      </c>
      <c r="B32" s="13" t="inlineStr">
        <is>
          <t>推奨</t>
        </is>
      </c>
      <c r="C32" s="12" t="inlineStr">
        <is>
          <t>やまいも</t>
        </is>
      </c>
      <c r="D32" s="12" t="inlineStr">
        <is>
          <t>Yam</t>
        </is>
      </c>
      <c r="E32" s="12" t="inlineStr">
        <is>
          <t>山药</t>
        </is>
      </c>
      <c r="F32" s="12" t="inlineStr">
        <is>
          <t>마</t>
        </is>
      </c>
    </row>
    <row r="33">
      <c r="A33" s="13" t="n">
        <v>29</v>
      </c>
      <c r="B33" s="13" t="inlineStr">
        <is>
          <t>推奨</t>
        </is>
      </c>
      <c r="C33" s="12" t="inlineStr">
        <is>
          <t>りんご</t>
        </is>
      </c>
      <c r="D33" s="12" t="inlineStr">
        <is>
          <t>Apple</t>
        </is>
      </c>
      <c r="E33" s="12" t="inlineStr">
        <is>
          <t>苹果</t>
        </is>
      </c>
      <c r="F33" s="12" t="inlineStr">
        <is>
          <t>사과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12" customWidth="1" min="32" max="32"/>
    <col width="10" customWidth="1" min="33" max="33"/>
    <col width="30" customWidth="1" min="34" max="34"/>
    <col width="13" customWidth="1" min="35" max="35"/>
    <col width="8" customWidth="1" min="36" max="36"/>
    <col width="8" customWidth="1" min="37" max="37"/>
  </cols>
  <sheetData>
    <row r="1">
      <c r="A1" s="5" t="inlineStr">
        <is>
          <t>入力（お店の中で使うシート）</t>
        </is>
      </c>
    </row>
    <row r="2">
      <c r="A2" s="8" t="inlineStr">
        <is>
          <t>店名</t>
        </is>
      </c>
      <c r="B2" s="14" t="inlineStr">
        <is>
          <t>〇〇食堂（見本）</t>
        </is>
      </c>
      <c r="C2" s="7" t="inlineStr">
        <is>
          <t>← 店名（お客様用の表題になります）</t>
        </is>
      </c>
      <c r="AF2" s="15" t="inlineStr">
        <is>
          <t>未確認ありの行数 →</t>
        </is>
      </c>
      <c r="AI2" s="16">
        <f>COUNTIF(AI6:AI55,"未確認あり")</f>
        <v/>
      </c>
    </row>
    <row r="3" ht="20" customHeight="1">
      <c r="A3" s="6" t="inlineStr">
        <is>
          <t>見本の3行は「見本の架空データ。実際のメニューには使えない」。内容を消して（行は削除しない）お使いください。入力は ○（含む）／－（含まない）／？（未確認）。</t>
        </is>
      </c>
      <c r="AF3" s="15" t="inlineStr">
        <is>
          <t>確認済み以外の行数 →</t>
        </is>
      </c>
      <c r="AI3" s="16">
        <f>COUNTIF(AI6:AI55,"未確認あり")+COUNTIF(AI6:AI55,"確認日なし")+COUNTIF(AI6:AI55,"確認者なし")+COUNTIF(AI6:AI55,"入力値エラー")+COUNTIF(AI6:AI55,"メニュー名なし")</f>
        <v/>
      </c>
    </row>
    <row r="4">
      <c r="A4" s="8" t="inlineStr">
        <is>
          <t>No</t>
        </is>
      </c>
      <c r="B4" s="8" t="inlineStr">
        <is>
          <t>メニュー名</t>
        </is>
      </c>
      <c r="C4" s="17">
        <f>'品目リスト'!$B$5</f>
        <v/>
      </c>
      <c r="D4" s="17">
        <f>'品目リスト'!$B$6</f>
        <v/>
      </c>
      <c r="E4" s="17">
        <f>'品目リスト'!$B$7</f>
        <v/>
      </c>
      <c r="F4" s="17">
        <f>'品目リスト'!$B$8</f>
        <v/>
      </c>
      <c r="G4" s="17">
        <f>'品目リスト'!$B$9</f>
        <v/>
      </c>
      <c r="H4" s="17">
        <f>'品目リスト'!$B$10</f>
        <v/>
      </c>
      <c r="I4" s="17">
        <f>'品目リスト'!$B$11</f>
        <v/>
      </c>
      <c r="J4" s="17">
        <f>'品目リスト'!$B$12</f>
        <v/>
      </c>
      <c r="K4" s="17">
        <f>'品目リスト'!$B$13</f>
        <v/>
      </c>
      <c r="L4" s="17">
        <f>'品目リスト'!$B$14</f>
        <v/>
      </c>
      <c r="M4" s="17">
        <f>'品目リスト'!$B$15</f>
        <v/>
      </c>
      <c r="N4" s="17">
        <f>'品目リスト'!$B$16</f>
        <v/>
      </c>
      <c r="O4" s="17">
        <f>'品目リスト'!$B$17</f>
        <v/>
      </c>
      <c r="P4" s="17">
        <f>'品目リスト'!$B$18</f>
        <v/>
      </c>
      <c r="Q4" s="17">
        <f>'品目リスト'!$B$19</f>
        <v/>
      </c>
      <c r="R4" s="17">
        <f>'品目リスト'!$B$20</f>
        <v/>
      </c>
      <c r="S4" s="17">
        <f>'品目リスト'!$B$21</f>
        <v/>
      </c>
      <c r="T4" s="17">
        <f>'品目リスト'!$B$22</f>
        <v/>
      </c>
      <c r="U4" s="17">
        <f>'品目リスト'!$B$23</f>
        <v/>
      </c>
      <c r="V4" s="17">
        <f>'品目リスト'!$B$24</f>
        <v/>
      </c>
      <c r="W4" s="17">
        <f>'品目リスト'!$B$25</f>
        <v/>
      </c>
      <c r="X4" s="17">
        <f>'品目リスト'!$B$26</f>
        <v/>
      </c>
      <c r="Y4" s="17">
        <f>'品目リスト'!$B$27</f>
        <v/>
      </c>
      <c r="Z4" s="17">
        <f>'品目リスト'!$B$28</f>
        <v/>
      </c>
      <c r="AA4" s="17">
        <f>'品目リスト'!$B$29</f>
        <v/>
      </c>
      <c r="AB4" s="17">
        <f>'品目リスト'!$B$30</f>
        <v/>
      </c>
      <c r="AC4" s="17">
        <f>'品目リスト'!$B$31</f>
        <v/>
      </c>
      <c r="AD4" s="17">
        <f>'品目リスト'!$B$32</f>
        <v/>
      </c>
      <c r="AE4" s="17">
        <f>'品目リスト'!$B$33</f>
        <v/>
      </c>
      <c r="AF4" s="8" t="inlineStr">
        <is>
          <t>最終確認日</t>
        </is>
      </c>
      <c r="AG4" s="8" t="inlineStr">
        <is>
          <t>確認者</t>
        </is>
      </c>
      <c r="AH4" s="8" t="inlineStr">
        <is>
          <t>備考（調理器具・揚げ油の共用など）</t>
        </is>
      </c>
      <c r="AI4" s="17" t="inlineStr">
        <is>
          <t>状態［自動］</t>
        </is>
      </c>
      <c r="AJ4" s="17" t="inlineStr">
        <is>
          <t>含む品目の数［自動］</t>
        </is>
      </c>
      <c r="AK4" s="17" t="inlineStr">
        <is>
          <t>未確認の数［自動］</t>
        </is>
      </c>
    </row>
    <row r="5" ht="150" customHeight="1">
      <c r="A5" s="18" t="n"/>
      <c r="B5" s="18" t="n"/>
      <c r="C5" s="19">
        <f>'品目リスト'!$C$5</f>
        <v/>
      </c>
      <c r="D5" s="19">
        <f>'品目リスト'!$C$6</f>
        <v/>
      </c>
      <c r="E5" s="19">
        <f>'品目リスト'!$C$7</f>
        <v/>
      </c>
      <c r="F5" s="19">
        <f>'品目リスト'!$C$8</f>
        <v/>
      </c>
      <c r="G5" s="19">
        <f>'品目リスト'!$C$9</f>
        <v/>
      </c>
      <c r="H5" s="19">
        <f>'品目リスト'!$C$10</f>
        <v/>
      </c>
      <c r="I5" s="19">
        <f>'品目リスト'!$C$11</f>
        <v/>
      </c>
      <c r="J5" s="19">
        <f>'品目リスト'!$C$12</f>
        <v/>
      </c>
      <c r="K5" s="19">
        <f>'品目リスト'!$C$13</f>
        <v/>
      </c>
      <c r="L5" s="19">
        <f>'品目リスト'!$C$14</f>
        <v/>
      </c>
      <c r="M5" s="19">
        <f>'品目リスト'!$C$15</f>
        <v/>
      </c>
      <c r="N5" s="19">
        <f>'品目リスト'!$C$16</f>
        <v/>
      </c>
      <c r="O5" s="19">
        <f>'品目リスト'!$C$17</f>
        <v/>
      </c>
      <c r="P5" s="19">
        <f>'品目リスト'!$C$18</f>
        <v/>
      </c>
      <c r="Q5" s="19">
        <f>'品目リスト'!$C$19</f>
        <v/>
      </c>
      <c r="R5" s="19">
        <f>'品目リスト'!$C$20</f>
        <v/>
      </c>
      <c r="S5" s="19">
        <f>'品目リスト'!$C$21</f>
        <v/>
      </c>
      <c r="T5" s="19">
        <f>'品目リスト'!$C$22</f>
        <v/>
      </c>
      <c r="U5" s="19">
        <f>'品目リスト'!$C$23</f>
        <v/>
      </c>
      <c r="V5" s="19">
        <f>'品目リスト'!$C$24</f>
        <v/>
      </c>
      <c r="W5" s="19">
        <f>'品目リスト'!$C$25</f>
        <v/>
      </c>
      <c r="X5" s="19">
        <f>'品目リスト'!$C$26</f>
        <v/>
      </c>
      <c r="Y5" s="19">
        <f>'品目リスト'!$C$27</f>
        <v/>
      </c>
      <c r="Z5" s="19">
        <f>'品目リスト'!$C$28</f>
        <v/>
      </c>
      <c r="AA5" s="19">
        <f>'品目リスト'!$C$29</f>
        <v/>
      </c>
      <c r="AB5" s="19">
        <f>'品目リスト'!$C$30</f>
        <v/>
      </c>
      <c r="AC5" s="19">
        <f>'品目リスト'!$C$31</f>
        <v/>
      </c>
      <c r="AD5" s="19">
        <f>'品目リスト'!$C$32</f>
        <v/>
      </c>
      <c r="AE5" s="19">
        <f>'品目リスト'!$C$33</f>
        <v/>
      </c>
      <c r="AF5" s="18" t="n"/>
      <c r="AG5" s="18" t="n"/>
      <c r="AH5" s="18" t="n"/>
      <c r="AI5" s="20" t="n"/>
      <c r="AJ5" s="20" t="n"/>
      <c r="AK5" s="20" t="n"/>
    </row>
    <row r="6" ht="30" customHeight="1">
      <c r="A6" s="21" t="n">
        <v>1</v>
      </c>
      <c r="B6" s="22" t="inlineStr">
        <is>
          <t>鶏の唐揚げ</t>
        </is>
      </c>
      <c r="C6" s="11" t="inlineStr">
        <is>
          <t>－</t>
        </is>
      </c>
      <c r="D6" s="11" t="inlineStr">
        <is>
          <t>－</t>
        </is>
      </c>
      <c r="E6" s="11" t="inlineStr">
        <is>
          <t>－</t>
        </is>
      </c>
      <c r="F6" s="11" t="inlineStr">
        <is>
          <t>○</t>
        </is>
      </c>
      <c r="G6" s="11" t="inlineStr">
        <is>
          <t>－</t>
        </is>
      </c>
      <c r="H6" s="11" t="inlineStr">
        <is>
          <t>○</t>
        </is>
      </c>
      <c r="I6" s="11" t="inlineStr">
        <is>
          <t>－</t>
        </is>
      </c>
      <c r="J6" s="11" t="inlineStr">
        <is>
          <t>－</t>
        </is>
      </c>
      <c r="K6" s="23" t="inlineStr">
        <is>
          <t>－</t>
        </is>
      </c>
      <c r="L6" s="11" t="inlineStr">
        <is>
          <t>－</t>
        </is>
      </c>
      <c r="M6" s="11" t="inlineStr">
        <is>
          <t>－</t>
        </is>
      </c>
      <c r="N6" s="11" t="inlineStr">
        <is>
          <t>－</t>
        </is>
      </c>
      <c r="O6" s="11" t="inlineStr">
        <is>
          <t>－</t>
        </is>
      </c>
      <c r="P6" s="11" t="inlineStr">
        <is>
          <t>－</t>
        </is>
      </c>
      <c r="Q6" s="11" t="inlineStr">
        <is>
          <t>－</t>
        </is>
      </c>
      <c r="R6" s="11" t="inlineStr">
        <is>
          <t>－</t>
        </is>
      </c>
      <c r="S6" s="11" t="inlineStr">
        <is>
          <t>－</t>
        </is>
      </c>
      <c r="T6" s="11" t="inlineStr">
        <is>
          <t>－</t>
        </is>
      </c>
      <c r="U6" s="11" t="inlineStr">
        <is>
          <t>－</t>
        </is>
      </c>
      <c r="V6" s="11" t="inlineStr">
        <is>
          <t>－</t>
        </is>
      </c>
      <c r="W6" s="11" t="inlineStr">
        <is>
          <t>○</t>
        </is>
      </c>
      <c r="X6" s="11" t="inlineStr">
        <is>
          <t>○</t>
        </is>
      </c>
      <c r="Y6" s="11" t="inlineStr">
        <is>
          <t>－</t>
        </is>
      </c>
      <c r="Z6" s="11" t="inlineStr">
        <is>
          <t>－</t>
        </is>
      </c>
      <c r="AA6" s="11" t="inlineStr">
        <is>
          <t>－</t>
        </is>
      </c>
      <c r="AB6" s="11" t="inlineStr">
        <is>
          <t>－</t>
        </is>
      </c>
      <c r="AC6" s="11" t="inlineStr">
        <is>
          <t>－</t>
        </is>
      </c>
      <c r="AD6" s="11" t="inlineStr">
        <is>
          <t>－</t>
        </is>
      </c>
      <c r="AE6" s="11" t="inlineStr">
        <is>
          <t>－</t>
        </is>
      </c>
      <c r="AF6" s="24" t="n">
        <v>46296</v>
      </c>
      <c r="AG6" s="22" t="inlineStr">
        <is>
          <t>店長（見本）</t>
        </is>
      </c>
      <c r="AH6" s="22" t="inlineStr">
        <is>
          <t>見本の架空データ。実際のメニューには使えない。揚げ油を共用</t>
        </is>
      </c>
      <c r="AI6" s="17">
        <f>IF(AND($B6="",COUNTBLANK(C6:AE6)=29),"",IF($B6="","メニュー名なし",IF(COUNTIF(C6:AE6,"○")+COUNTIF(C6:AE6,"－")+COUNTIF(C6:AE6,"？")+COUNTBLANK(C6:AE6)&lt;&gt;29,"入力値エラー",IF(COUNTIF(C6:AE6,"？")+COUNTBLANK(C6:AE6)&gt;0,"未確認あり",IF(ISBLANK(AF6),"確認日なし",IF(ISBLANK(AG6),"確認者なし","確認済み"))))))</f>
        <v/>
      </c>
      <c r="AJ6" s="21">
        <f>IF(AND($B6="",COUNTBLANK(C6:AE6)=29),"",COUNTIF(C6:AE6,"○"))</f>
        <v/>
      </c>
      <c r="AK6" s="21">
        <f>IF(AND($B6="",COUNTBLANK(C6:AE6)=29),"",COUNTIF(C6:AE6,"？")+COUNTBLANK(C6:AE6))</f>
        <v/>
      </c>
    </row>
    <row r="7" ht="30" customHeight="1">
      <c r="A7" s="21" t="n">
        <v>2</v>
      </c>
      <c r="B7" s="22" t="inlineStr">
        <is>
          <t>野菜サラダ（ごまドレッシング）</t>
        </is>
      </c>
      <c r="C7" s="11" t="inlineStr">
        <is>
          <t>－</t>
        </is>
      </c>
      <c r="D7" s="11" t="inlineStr">
        <is>
          <t>－</t>
        </is>
      </c>
      <c r="E7" s="11" t="inlineStr">
        <is>
          <t>－</t>
        </is>
      </c>
      <c r="F7" s="11" t="inlineStr">
        <is>
          <t>－</t>
        </is>
      </c>
      <c r="G7" s="11" t="inlineStr">
        <is>
          <t>－</t>
        </is>
      </c>
      <c r="H7" s="11" t="inlineStr">
        <is>
          <t>○</t>
        </is>
      </c>
      <c r="I7" s="11" t="inlineStr">
        <is>
          <t>？</t>
        </is>
      </c>
      <c r="J7" s="11" t="inlineStr">
        <is>
          <t>－</t>
        </is>
      </c>
      <c r="K7" s="23" t="inlineStr">
        <is>
          <t>－</t>
        </is>
      </c>
      <c r="L7" s="11" t="inlineStr">
        <is>
          <t>－</t>
        </is>
      </c>
      <c r="M7" s="11" t="inlineStr">
        <is>
          <t>－</t>
        </is>
      </c>
      <c r="N7" s="11" t="inlineStr">
        <is>
          <t>－</t>
        </is>
      </c>
      <c r="O7" s="11" t="inlineStr">
        <is>
          <t>－</t>
        </is>
      </c>
      <c r="P7" s="11" t="inlineStr">
        <is>
          <t>－</t>
        </is>
      </c>
      <c r="Q7" s="11" t="inlineStr">
        <is>
          <t>－</t>
        </is>
      </c>
      <c r="R7" s="11" t="inlineStr">
        <is>
          <t>－</t>
        </is>
      </c>
      <c r="S7" s="11" t="inlineStr">
        <is>
          <t>○</t>
        </is>
      </c>
      <c r="T7" s="11" t="inlineStr">
        <is>
          <t>－</t>
        </is>
      </c>
      <c r="U7" s="11" t="inlineStr">
        <is>
          <t>－</t>
        </is>
      </c>
      <c r="V7" s="11" t="inlineStr">
        <is>
          <t>－</t>
        </is>
      </c>
      <c r="W7" s="11" t="inlineStr">
        <is>
          <t>○</t>
        </is>
      </c>
      <c r="X7" s="11" t="inlineStr">
        <is>
          <t>－</t>
        </is>
      </c>
      <c r="Y7" s="11" t="inlineStr">
        <is>
          <t>－</t>
        </is>
      </c>
      <c r="Z7" s="11" t="inlineStr">
        <is>
          <t>－</t>
        </is>
      </c>
      <c r="AA7" s="11" t="inlineStr">
        <is>
          <t>－</t>
        </is>
      </c>
      <c r="AB7" s="11" t="inlineStr">
        <is>
          <t>－</t>
        </is>
      </c>
      <c r="AC7" s="11" t="inlineStr">
        <is>
          <t>－</t>
        </is>
      </c>
      <c r="AD7" s="11" t="inlineStr">
        <is>
          <t>－</t>
        </is>
      </c>
      <c r="AE7" s="11" t="inlineStr">
        <is>
          <t>○</t>
        </is>
      </c>
      <c r="AF7" s="24" t="n">
        <v>46296</v>
      </c>
      <c r="AG7" s="22" t="inlineStr">
        <is>
          <t>店長（見本）</t>
        </is>
      </c>
      <c r="AH7" s="22" t="inlineStr">
        <is>
          <t>見本の架空データ。実際のメニューには使えない</t>
        </is>
      </c>
      <c r="AI7" s="17">
        <f>IF(AND($B7="",COUNTBLANK(C7:AE7)=29),"",IF($B7="","メニュー名なし",IF(COUNTIF(C7:AE7,"○")+COUNTIF(C7:AE7,"－")+COUNTIF(C7:AE7,"？")+COUNTBLANK(C7:AE7)&lt;&gt;29,"入力値エラー",IF(COUNTIF(C7:AE7,"？")+COUNTBLANK(C7:AE7)&gt;0,"未確認あり",IF(ISBLANK(AF7),"確認日なし",IF(ISBLANK(AG7),"確認者なし","確認済み"))))))</f>
        <v/>
      </c>
      <c r="AJ7" s="21">
        <f>IF(AND($B7="",COUNTBLANK(C7:AE7)=29),"",COUNTIF(C7:AE7,"○"))</f>
        <v/>
      </c>
      <c r="AK7" s="21">
        <f>IF(AND($B7="",COUNTBLANK(C7:AE7)=29),"",COUNTIF(C7:AE7,"？")+COUNTBLANK(C7:AE7))</f>
        <v/>
      </c>
    </row>
    <row r="8" ht="30" customHeight="1">
      <c r="A8" s="21" t="n">
        <v>3</v>
      </c>
      <c r="B8" s="22" t="inlineStr">
        <is>
          <t>ざるそば</t>
        </is>
      </c>
      <c r="C8" s="11" t="inlineStr">
        <is>
          <t>－</t>
        </is>
      </c>
      <c r="D8" s="11" t="inlineStr">
        <is>
          <t>－</t>
        </is>
      </c>
      <c r="E8" s="11" t="inlineStr">
        <is>
          <t>－</t>
        </is>
      </c>
      <c r="F8" s="11" t="inlineStr">
        <is>
          <t>○</t>
        </is>
      </c>
      <c r="G8" s="11" t="inlineStr">
        <is>
          <t>○</t>
        </is>
      </c>
      <c r="H8" s="11" t="inlineStr">
        <is>
          <t>－</t>
        </is>
      </c>
      <c r="I8" s="11" t="inlineStr">
        <is>
          <t>－</t>
        </is>
      </c>
      <c r="J8" s="11" t="inlineStr">
        <is>
          <t>－</t>
        </is>
      </c>
      <c r="K8" s="23" t="inlineStr">
        <is>
          <t>－</t>
        </is>
      </c>
      <c r="L8" s="11" t="inlineStr">
        <is>
          <t>－</t>
        </is>
      </c>
      <c r="M8" s="11" t="inlineStr">
        <is>
          <t>－</t>
        </is>
      </c>
      <c r="N8" s="11" t="inlineStr">
        <is>
          <t>－</t>
        </is>
      </c>
      <c r="O8" s="11" t="inlineStr">
        <is>
          <t>－</t>
        </is>
      </c>
      <c r="P8" s="11" t="inlineStr">
        <is>
          <t>－</t>
        </is>
      </c>
      <c r="Q8" s="11" t="inlineStr">
        <is>
          <t>－</t>
        </is>
      </c>
      <c r="R8" s="11" t="inlineStr">
        <is>
          <t>－</t>
        </is>
      </c>
      <c r="S8" s="11" t="inlineStr">
        <is>
          <t>－</t>
        </is>
      </c>
      <c r="T8" s="11" t="inlineStr">
        <is>
          <t>－</t>
        </is>
      </c>
      <c r="U8" s="11" t="inlineStr">
        <is>
          <t>－</t>
        </is>
      </c>
      <c r="V8" s="11" t="inlineStr">
        <is>
          <t>－</t>
        </is>
      </c>
      <c r="W8" s="11" t="inlineStr">
        <is>
          <t>○</t>
        </is>
      </c>
      <c r="X8" s="11" t="inlineStr">
        <is>
          <t>－</t>
        </is>
      </c>
      <c r="Y8" s="11" t="inlineStr">
        <is>
          <t>－</t>
        </is>
      </c>
      <c r="Z8" s="11" t="inlineStr">
        <is>
          <t>－</t>
        </is>
      </c>
      <c r="AA8" s="11" t="inlineStr">
        <is>
          <t>－</t>
        </is>
      </c>
      <c r="AB8" s="11" t="inlineStr">
        <is>
          <t>－</t>
        </is>
      </c>
      <c r="AC8" s="11" t="inlineStr">
        <is>
          <t>－</t>
        </is>
      </c>
      <c r="AD8" s="11" t="inlineStr">
        <is>
          <t>－</t>
        </is>
      </c>
      <c r="AE8" s="11" t="inlineStr">
        <is>
          <t>－</t>
        </is>
      </c>
      <c r="AF8" s="24" t="n"/>
      <c r="AG8" s="22" t="n"/>
      <c r="AH8" s="22" t="inlineStr">
        <is>
          <t>見本の架空データ。実際のメニューには使えない</t>
        </is>
      </c>
      <c r="AI8" s="17">
        <f>IF(AND($B8="",COUNTBLANK(C8:AE8)=29),"",IF($B8="","メニュー名なし",IF(COUNTIF(C8:AE8,"○")+COUNTIF(C8:AE8,"－")+COUNTIF(C8:AE8,"？")+COUNTBLANK(C8:AE8)&lt;&gt;29,"入力値エラー",IF(COUNTIF(C8:AE8,"？")+COUNTBLANK(C8:AE8)&gt;0,"未確認あり",IF(ISBLANK(AF8),"確認日なし",IF(ISBLANK(AG8),"確認者なし","確認済み"))))))</f>
        <v/>
      </c>
      <c r="AJ8" s="21">
        <f>IF(AND($B8="",COUNTBLANK(C8:AE8)=29),"",COUNTIF(C8:AE8,"○"))</f>
        <v/>
      </c>
      <c r="AK8" s="21">
        <f>IF(AND($B8="",COUNTBLANK(C8:AE8)=29),"",COUNTIF(C8:AE8,"？")+COUNTBLANK(C8:AE8))</f>
        <v/>
      </c>
    </row>
    <row r="9" ht="30" customHeight="1">
      <c r="A9" s="21" t="n">
        <v>4</v>
      </c>
      <c r="B9" s="22" t="n"/>
      <c r="C9" s="11" t="n"/>
      <c r="D9" s="11" t="n"/>
      <c r="E9" s="11" t="n"/>
      <c r="F9" s="11" t="n"/>
      <c r="G9" s="11" t="n"/>
      <c r="H9" s="11" t="n"/>
      <c r="I9" s="11" t="n"/>
      <c r="J9" s="11" t="n"/>
      <c r="K9" s="23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24" t="n"/>
      <c r="AG9" s="22" t="n"/>
      <c r="AH9" s="22" t="n"/>
      <c r="AI9" s="17">
        <f>IF(AND($B9="",COUNTBLANK(C9:AE9)=29),"",IF($B9="","メニュー名なし",IF(COUNTIF(C9:AE9,"○")+COUNTIF(C9:AE9,"－")+COUNTIF(C9:AE9,"？")+COUNTBLANK(C9:AE9)&lt;&gt;29,"入力値エラー",IF(COUNTIF(C9:AE9,"？")+COUNTBLANK(C9:AE9)&gt;0,"未確認あり",IF(ISBLANK(AF9),"確認日なし",IF(ISBLANK(AG9),"確認者なし","確認済み"))))))</f>
        <v/>
      </c>
      <c r="AJ9" s="21">
        <f>IF(AND($B9="",COUNTBLANK(C9:AE9)=29),"",COUNTIF(C9:AE9,"○"))</f>
        <v/>
      </c>
      <c r="AK9" s="21">
        <f>IF(AND($B9="",COUNTBLANK(C9:AE9)=29),"",COUNTIF(C9:AE9,"？")+COUNTBLANK(C9:AE9))</f>
        <v/>
      </c>
    </row>
    <row r="10" ht="30" customHeight="1">
      <c r="A10" s="21" t="n">
        <v>5</v>
      </c>
      <c r="B10" s="22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23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24" t="n"/>
      <c r="AG10" s="22" t="n"/>
      <c r="AH10" s="22" t="n"/>
      <c r="AI10" s="17">
        <f>IF(AND($B10="",COUNTBLANK(C10:AE10)=29),"",IF($B10="","メニュー名なし",IF(COUNTIF(C10:AE10,"○")+COUNTIF(C10:AE10,"－")+COUNTIF(C10:AE10,"？")+COUNTBLANK(C10:AE10)&lt;&gt;29,"入力値エラー",IF(COUNTIF(C10:AE10,"？")+COUNTBLANK(C10:AE10)&gt;0,"未確認あり",IF(ISBLANK(AF10),"確認日なし",IF(ISBLANK(AG10),"確認者なし","確認済み"))))))</f>
        <v/>
      </c>
      <c r="AJ10" s="21">
        <f>IF(AND($B10="",COUNTBLANK(C10:AE10)=29),"",COUNTIF(C10:AE10,"○"))</f>
        <v/>
      </c>
      <c r="AK10" s="21">
        <f>IF(AND($B10="",COUNTBLANK(C10:AE10)=29),"",COUNTIF(C10:AE10,"？")+COUNTBLANK(C10:AE10))</f>
        <v/>
      </c>
    </row>
    <row r="11" ht="30" customHeight="1">
      <c r="A11" s="21" t="n">
        <v>6</v>
      </c>
      <c r="B11" s="22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23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24" t="n"/>
      <c r="AG11" s="22" t="n"/>
      <c r="AH11" s="22" t="n"/>
      <c r="AI11" s="17">
        <f>IF(AND($B11="",COUNTBLANK(C11:AE11)=29),"",IF($B11="","メニュー名なし",IF(COUNTIF(C11:AE11,"○")+COUNTIF(C11:AE11,"－")+COUNTIF(C11:AE11,"？")+COUNTBLANK(C11:AE11)&lt;&gt;29,"入力値エラー",IF(COUNTIF(C11:AE11,"？")+COUNTBLANK(C11:AE11)&gt;0,"未確認あり",IF(ISBLANK(AF11),"確認日なし",IF(ISBLANK(AG11),"確認者なし","確認済み"))))))</f>
        <v/>
      </c>
      <c r="AJ11" s="21">
        <f>IF(AND($B11="",COUNTBLANK(C11:AE11)=29),"",COUNTIF(C11:AE11,"○"))</f>
        <v/>
      </c>
      <c r="AK11" s="21">
        <f>IF(AND($B11="",COUNTBLANK(C11:AE11)=29),"",COUNTIF(C11:AE11,"？")+COUNTBLANK(C11:AE11))</f>
        <v/>
      </c>
    </row>
    <row r="12" ht="30" customHeight="1">
      <c r="A12" s="21" t="n">
        <v>7</v>
      </c>
      <c r="B12" s="22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23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24" t="n"/>
      <c r="AG12" s="22" t="n"/>
      <c r="AH12" s="22" t="n"/>
      <c r="AI12" s="17">
        <f>IF(AND($B12="",COUNTBLANK(C12:AE12)=29),"",IF($B12="","メニュー名なし",IF(COUNTIF(C12:AE12,"○")+COUNTIF(C12:AE12,"－")+COUNTIF(C12:AE12,"？")+COUNTBLANK(C12:AE12)&lt;&gt;29,"入力値エラー",IF(COUNTIF(C12:AE12,"？")+COUNTBLANK(C12:AE12)&gt;0,"未確認あり",IF(ISBLANK(AF12),"確認日なし",IF(ISBLANK(AG12),"確認者なし","確認済み"))))))</f>
        <v/>
      </c>
      <c r="AJ12" s="21">
        <f>IF(AND($B12="",COUNTBLANK(C12:AE12)=29),"",COUNTIF(C12:AE12,"○"))</f>
        <v/>
      </c>
      <c r="AK12" s="21">
        <f>IF(AND($B12="",COUNTBLANK(C12:AE12)=29),"",COUNTIF(C12:AE12,"？")+COUNTBLANK(C12:AE12))</f>
        <v/>
      </c>
    </row>
    <row r="13" ht="30" customHeight="1">
      <c r="A13" s="21" t="n">
        <v>8</v>
      </c>
      <c r="B13" s="22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23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24" t="n"/>
      <c r="AG13" s="22" t="n"/>
      <c r="AH13" s="22" t="n"/>
      <c r="AI13" s="17">
        <f>IF(AND($B13="",COUNTBLANK(C13:AE13)=29),"",IF($B13="","メニュー名なし",IF(COUNTIF(C13:AE13,"○")+COUNTIF(C13:AE13,"－")+COUNTIF(C13:AE13,"？")+COUNTBLANK(C13:AE13)&lt;&gt;29,"入力値エラー",IF(COUNTIF(C13:AE13,"？")+COUNTBLANK(C13:AE13)&gt;0,"未確認あり",IF(ISBLANK(AF13),"確認日なし",IF(ISBLANK(AG13),"確認者なし","確認済み"))))))</f>
        <v/>
      </c>
      <c r="AJ13" s="21">
        <f>IF(AND($B13="",COUNTBLANK(C13:AE13)=29),"",COUNTIF(C13:AE13,"○"))</f>
        <v/>
      </c>
      <c r="AK13" s="21">
        <f>IF(AND($B13="",COUNTBLANK(C13:AE13)=29),"",COUNTIF(C13:AE13,"？")+COUNTBLANK(C13:AE13))</f>
        <v/>
      </c>
    </row>
    <row r="14" ht="30" customHeight="1">
      <c r="A14" s="21" t="n">
        <v>9</v>
      </c>
      <c r="B14" s="22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23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24" t="n"/>
      <c r="AG14" s="22" t="n"/>
      <c r="AH14" s="22" t="n"/>
      <c r="AI14" s="17">
        <f>IF(AND($B14="",COUNTBLANK(C14:AE14)=29),"",IF($B14="","メニュー名なし",IF(COUNTIF(C14:AE14,"○")+COUNTIF(C14:AE14,"－")+COUNTIF(C14:AE14,"？")+COUNTBLANK(C14:AE14)&lt;&gt;29,"入力値エラー",IF(COUNTIF(C14:AE14,"？")+COUNTBLANK(C14:AE14)&gt;0,"未確認あり",IF(ISBLANK(AF14),"確認日なし",IF(ISBLANK(AG14),"確認者なし","確認済み"))))))</f>
        <v/>
      </c>
      <c r="AJ14" s="21">
        <f>IF(AND($B14="",COUNTBLANK(C14:AE14)=29),"",COUNTIF(C14:AE14,"○"))</f>
        <v/>
      </c>
      <c r="AK14" s="21">
        <f>IF(AND($B14="",COUNTBLANK(C14:AE14)=29),"",COUNTIF(C14:AE14,"？")+COUNTBLANK(C14:AE14))</f>
        <v/>
      </c>
    </row>
    <row r="15" ht="30" customHeight="1">
      <c r="A15" s="21" t="n">
        <v>10</v>
      </c>
      <c r="B15" s="22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23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24" t="n"/>
      <c r="AG15" s="22" t="n"/>
      <c r="AH15" s="22" t="n"/>
      <c r="AI15" s="17">
        <f>IF(AND($B15="",COUNTBLANK(C15:AE15)=29),"",IF($B15="","メニュー名なし",IF(COUNTIF(C15:AE15,"○")+COUNTIF(C15:AE15,"－")+COUNTIF(C15:AE15,"？")+COUNTBLANK(C15:AE15)&lt;&gt;29,"入力値エラー",IF(COUNTIF(C15:AE15,"？")+COUNTBLANK(C15:AE15)&gt;0,"未確認あり",IF(ISBLANK(AF15),"確認日なし",IF(ISBLANK(AG15),"確認者なし","確認済み"))))))</f>
        <v/>
      </c>
      <c r="AJ15" s="21">
        <f>IF(AND($B15="",COUNTBLANK(C15:AE15)=29),"",COUNTIF(C15:AE15,"○"))</f>
        <v/>
      </c>
      <c r="AK15" s="21">
        <f>IF(AND($B15="",COUNTBLANK(C15:AE15)=29),"",COUNTIF(C15:AE15,"？")+COUNTBLANK(C15:AE15))</f>
        <v/>
      </c>
    </row>
    <row r="16" ht="30" customHeight="1">
      <c r="A16" s="21" t="n">
        <v>11</v>
      </c>
      <c r="B16" s="22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23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24" t="n"/>
      <c r="AG16" s="22" t="n"/>
      <c r="AH16" s="22" t="n"/>
      <c r="AI16" s="17">
        <f>IF(AND($B16="",COUNTBLANK(C16:AE16)=29),"",IF($B16="","メニュー名なし",IF(COUNTIF(C16:AE16,"○")+COUNTIF(C16:AE16,"－")+COUNTIF(C16:AE16,"？")+COUNTBLANK(C16:AE16)&lt;&gt;29,"入力値エラー",IF(COUNTIF(C16:AE16,"？")+COUNTBLANK(C16:AE16)&gt;0,"未確認あり",IF(ISBLANK(AF16),"確認日なし",IF(ISBLANK(AG16),"確認者なし","確認済み"))))))</f>
        <v/>
      </c>
      <c r="AJ16" s="21">
        <f>IF(AND($B16="",COUNTBLANK(C16:AE16)=29),"",COUNTIF(C16:AE16,"○"))</f>
        <v/>
      </c>
      <c r="AK16" s="21">
        <f>IF(AND($B16="",COUNTBLANK(C16:AE16)=29),"",COUNTIF(C16:AE16,"？")+COUNTBLANK(C16:AE16))</f>
        <v/>
      </c>
    </row>
    <row r="17" ht="30" customHeight="1">
      <c r="A17" s="21" t="n">
        <v>12</v>
      </c>
      <c r="B17" s="22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23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24" t="n"/>
      <c r="AG17" s="22" t="n"/>
      <c r="AH17" s="22" t="n"/>
      <c r="AI17" s="17">
        <f>IF(AND($B17="",COUNTBLANK(C17:AE17)=29),"",IF($B17="","メニュー名なし",IF(COUNTIF(C17:AE17,"○")+COUNTIF(C17:AE17,"－")+COUNTIF(C17:AE17,"？")+COUNTBLANK(C17:AE17)&lt;&gt;29,"入力値エラー",IF(COUNTIF(C17:AE17,"？")+COUNTBLANK(C17:AE17)&gt;0,"未確認あり",IF(ISBLANK(AF17),"確認日なし",IF(ISBLANK(AG17),"確認者なし","確認済み"))))))</f>
        <v/>
      </c>
      <c r="AJ17" s="21">
        <f>IF(AND($B17="",COUNTBLANK(C17:AE17)=29),"",COUNTIF(C17:AE17,"○"))</f>
        <v/>
      </c>
      <c r="AK17" s="21">
        <f>IF(AND($B17="",COUNTBLANK(C17:AE17)=29),"",COUNTIF(C17:AE17,"？")+COUNTBLANK(C17:AE17))</f>
        <v/>
      </c>
    </row>
    <row r="18" ht="30" customHeight="1">
      <c r="A18" s="21" t="n">
        <v>13</v>
      </c>
      <c r="B18" s="22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23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24" t="n"/>
      <c r="AG18" s="22" t="n"/>
      <c r="AH18" s="22" t="n"/>
      <c r="AI18" s="17">
        <f>IF(AND($B18="",COUNTBLANK(C18:AE18)=29),"",IF($B18="","メニュー名なし",IF(COUNTIF(C18:AE18,"○")+COUNTIF(C18:AE18,"－")+COUNTIF(C18:AE18,"？")+COUNTBLANK(C18:AE18)&lt;&gt;29,"入力値エラー",IF(COUNTIF(C18:AE18,"？")+COUNTBLANK(C18:AE18)&gt;0,"未確認あり",IF(ISBLANK(AF18),"確認日なし",IF(ISBLANK(AG18),"確認者なし","確認済み"))))))</f>
        <v/>
      </c>
      <c r="AJ18" s="21">
        <f>IF(AND($B18="",COUNTBLANK(C18:AE18)=29),"",COUNTIF(C18:AE18,"○"))</f>
        <v/>
      </c>
      <c r="AK18" s="21">
        <f>IF(AND($B18="",COUNTBLANK(C18:AE18)=29),"",COUNTIF(C18:AE18,"？")+COUNTBLANK(C18:AE18))</f>
        <v/>
      </c>
    </row>
    <row r="19" ht="30" customHeight="1">
      <c r="A19" s="21" t="n">
        <v>14</v>
      </c>
      <c r="B19" s="22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23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24" t="n"/>
      <c r="AG19" s="22" t="n"/>
      <c r="AH19" s="22" t="n"/>
      <c r="AI19" s="17">
        <f>IF(AND($B19="",COUNTBLANK(C19:AE19)=29),"",IF($B19="","メニュー名なし",IF(COUNTIF(C19:AE19,"○")+COUNTIF(C19:AE19,"－")+COUNTIF(C19:AE19,"？")+COUNTBLANK(C19:AE19)&lt;&gt;29,"入力値エラー",IF(COUNTIF(C19:AE19,"？")+COUNTBLANK(C19:AE19)&gt;0,"未確認あり",IF(ISBLANK(AF19),"確認日なし",IF(ISBLANK(AG19),"確認者なし","確認済み"))))))</f>
        <v/>
      </c>
      <c r="AJ19" s="21">
        <f>IF(AND($B19="",COUNTBLANK(C19:AE19)=29),"",COUNTIF(C19:AE19,"○"))</f>
        <v/>
      </c>
      <c r="AK19" s="21">
        <f>IF(AND($B19="",COUNTBLANK(C19:AE19)=29),"",COUNTIF(C19:AE19,"？")+COUNTBLANK(C19:AE19))</f>
        <v/>
      </c>
    </row>
    <row r="20" ht="30" customHeight="1">
      <c r="A20" s="21" t="n">
        <v>15</v>
      </c>
      <c r="B20" s="22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23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24" t="n"/>
      <c r="AG20" s="22" t="n"/>
      <c r="AH20" s="22" t="n"/>
      <c r="AI20" s="17">
        <f>IF(AND($B20="",COUNTBLANK(C20:AE20)=29),"",IF($B20="","メニュー名なし",IF(COUNTIF(C20:AE20,"○")+COUNTIF(C20:AE20,"－")+COUNTIF(C20:AE20,"？")+COUNTBLANK(C20:AE20)&lt;&gt;29,"入力値エラー",IF(COUNTIF(C20:AE20,"？")+COUNTBLANK(C20:AE20)&gt;0,"未確認あり",IF(ISBLANK(AF20),"確認日なし",IF(ISBLANK(AG20),"確認者なし","確認済み"))))))</f>
        <v/>
      </c>
      <c r="AJ20" s="21">
        <f>IF(AND($B20="",COUNTBLANK(C20:AE20)=29),"",COUNTIF(C20:AE20,"○"))</f>
        <v/>
      </c>
      <c r="AK20" s="21">
        <f>IF(AND($B20="",COUNTBLANK(C20:AE20)=29),"",COUNTIF(C20:AE20,"？")+COUNTBLANK(C20:AE20))</f>
        <v/>
      </c>
    </row>
    <row r="21" ht="30" customHeight="1">
      <c r="A21" s="21" t="n">
        <v>16</v>
      </c>
      <c r="B21" s="22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23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24" t="n"/>
      <c r="AG21" s="22" t="n"/>
      <c r="AH21" s="22" t="n"/>
      <c r="AI21" s="17">
        <f>IF(AND($B21="",COUNTBLANK(C21:AE21)=29),"",IF($B21="","メニュー名なし",IF(COUNTIF(C21:AE21,"○")+COUNTIF(C21:AE21,"－")+COUNTIF(C21:AE21,"？")+COUNTBLANK(C21:AE21)&lt;&gt;29,"入力値エラー",IF(COUNTIF(C21:AE21,"？")+COUNTBLANK(C21:AE21)&gt;0,"未確認あり",IF(ISBLANK(AF21),"確認日なし",IF(ISBLANK(AG21),"確認者なし","確認済み"))))))</f>
        <v/>
      </c>
      <c r="AJ21" s="21">
        <f>IF(AND($B21="",COUNTBLANK(C21:AE21)=29),"",COUNTIF(C21:AE21,"○"))</f>
        <v/>
      </c>
      <c r="AK21" s="21">
        <f>IF(AND($B21="",COUNTBLANK(C21:AE21)=29),"",COUNTIF(C21:AE21,"？")+COUNTBLANK(C21:AE21))</f>
        <v/>
      </c>
    </row>
    <row r="22" ht="30" customHeight="1">
      <c r="A22" s="21" t="n">
        <v>17</v>
      </c>
      <c r="B22" s="22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23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24" t="n"/>
      <c r="AG22" s="22" t="n"/>
      <c r="AH22" s="22" t="n"/>
      <c r="AI22" s="17">
        <f>IF(AND($B22="",COUNTBLANK(C22:AE22)=29),"",IF($B22="","メニュー名なし",IF(COUNTIF(C22:AE22,"○")+COUNTIF(C22:AE22,"－")+COUNTIF(C22:AE22,"？")+COUNTBLANK(C22:AE22)&lt;&gt;29,"入力値エラー",IF(COUNTIF(C22:AE22,"？")+COUNTBLANK(C22:AE22)&gt;0,"未確認あり",IF(ISBLANK(AF22),"確認日なし",IF(ISBLANK(AG22),"確認者なし","確認済み"))))))</f>
        <v/>
      </c>
      <c r="AJ22" s="21">
        <f>IF(AND($B22="",COUNTBLANK(C22:AE22)=29),"",COUNTIF(C22:AE22,"○"))</f>
        <v/>
      </c>
      <c r="AK22" s="21">
        <f>IF(AND($B22="",COUNTBLANK(C22:AE22)=29),"",COUNTIF(C22:AE22,"？")+COUNTBLANK(C22:AE22))</f>
        <v/>
      </c>
    </row>
    <row r="23" ht="30" customHeight="1">
      <c r="A23" s="21" t="n">
        <v>18</v>
      </c>
      <c r="B23" s="22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23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24" t="n"/>
      <c r="AG23" s="22" t="n"/>
      <c r="AH23" s="22" t="n"/>
      <c r="AI23" s="17">
        <f>IF(AND($B23="",COUNTBLANK(C23:AE23)=29),"",IF($B23="","メニュー名なし",IF(COUNTIF(C23:AE23,"○")+COUNTIF(C23:AE23,"－")+COUNTIF(C23:AE23,"？")+COUNTBLANK(C23:AE23)&lt;&gt;29,"入力値エラー",IF(COUNTIF(C23:AE23,"？")+COUNTBLANK(C23:AE23)&gt;0,"未確認あり",IF(ISBLANK(AF23),"確認日なし",IF(ISBLANK(AG23),"確認者なし","確認済み"))))))</f>
        <v/>
      </c>
      <c r="AJ23" s="21">
        <f>IF(AND($B23="",COUNTBLANK(C23:AE23)=29),"",COUNTIF(C23:AE23,"○"))</f>
        <v/>
      </c>
      <c r="AK23" s="21">
        <f>IF(AND($B23="",COUNTBLANK(C23:AE23)=29),"",COUNTIF(C23:AE23,"？")+COUNTBLANK(C23:AE23))</f>
        <v/>
      </c>
    </row>
    <row r="24" ht="30" customHeight="1">
      <c r="A24" s="21" t="n">
        <v>19</v>
      </c>
      <c r="B24" s="22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23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24" t="n"/>
      <c r="AG24" s="22" t="n"/>
      <c r="AH24" s="22" t="n"/>
      <c r="AI24" s="17">
        <f>IF(AND($B24="",COUNTBLANK(C24:AE24)=29),"",IF($B24="","メニュー名なし",IF(COUNTIF(C24:AE24,"○")+COUNTIF(C24:AE24,"－")+COUNTIF(C24:AE24,"？")+COUNTBLANK(C24:AE24)&lt;&gt;29,"入力値エラー",IF(COUNTIF(C24:AE24,"？")+COUNTBLANK(C24:AE24)&gt;0,"未確認あり",IF(ISBLANK(AF24),"確認日なし",IF(ISBLANK(AG24),"確認者なし","確認済み"))))))</f>
        <v/>
      </c>
      <c r="AJ24" s="21">
        <f>IF(AND($B24="",COUNTBLANK(C24:AE24)=29),"",COUNTIF(C24:AE24,"○"))</f>
        <v/>
      </c>
      <c r="AK24" s="21">
        <f>IF(AND($B24="",COUNTBLANK(C24:AE24)=29),"",COUNTIF(C24:AE24,"？")+COUNTBLANK(C24:AE24))</f>
        <v/>
      </c>
    </row>
    <row r="25" ht="30" customHeight="1">
      <c r="A25" s="21" t="n">
        <v>20</v>
      </c>
      <c r="B25" s="22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23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24" t="n"/>
      <c r="AG25" s="22" t="n"/>
      <c r="AH25" s="22" t="n"/>
      <c r="AI25" s="17">
        <f>IF(AND($B25="",COUNTBLANK(C25:AE25)=29),"",IF($B25="","メニュー名なし",IF(COUNTIF(C25:AE25,"○")+COUNTIF(C25:AE25,"－")+COUNTIF(C25:AE25,"？")+COUNTBLANK(C25:AE25)&lt;&gt;29,"入力値エラー",IF(COUNTIF(C25:AE25,"？")+COUNTBLANK(C25:AE25)&gt;0,"未確認あり",IF(ISBLANK(AF25),"確認日なし",IF(ISBLANK(AG25),"確認者なし","確認済み"))))))</f>
        <v/>
      </c>
      <c r="AJ25" s="21">
        <f>IF(AND($B25="",COUNTBLANK(C25:AE25)=29),"",COUNTIF(C25:AE25,"○"))</f>
        <v/>
      </c>
      <c r="AK25" s="21">
        <f>IF(AND($B25="",COUNTBLANK(C25:AE25)=29),"",COUNTIF(C25:AE25,"？")+COUNTBLANK(C25:AE25))</f>
        <v/>
      </c>
    </row>
    <row r="26" ht="30" customHeight="1">
      <c r="A26" s="21" t="n">
        <v>21</v>
      </c>
      <c r="B26" s="22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23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24" t="n"/>
      <c r="AG26" s="22" t="n"/>
      <c r="AH26" s="22" t="n"/>
      <c r="AI26" s="17">
        <f>IF(AND($B26="",COUNTBLANK(C26:AE26)=29),"",IF($B26="","メニュー名なし",IF(COUNTIF(C26:AE26,"○")+COUNTIF(C26:AE26,"－")+COUNTIF(C26:AE26,"？")+COUNTBLANK(C26:AE26)&lt;&gt;29,"入力値エラー",IF(COUNTIF(C26:AE26,"？")+COUNTBLANK(C26:AE26)&gt;0,"未確認あり",IF(ISBLANK(AF26),"確認日なし",IF(ISBLANK(AG26),"確認者なし","確認済み"))))))</f>
        <v/>
      </c>
      <c r="AJ26" s="21">
        <f>IF(AND($B26="",COUNTBLANK(C26:AE26)=29),"",COUNTIF(C26:AE26,"○"))</f>
        <v/>
      </c>
      <c r="AK26" s="21">
        <f>IF(AND($B26="",COUNTBLANK(C26:AE26)=29),"",COUNTIF(C26:AE26,"？")+COUNTBLANK(C26:AE26))</f>
        <v/>
      </c>
    </row>
    <row r="27" ht="30" customHeight="1">
      <c r="A27" s="21" t="n">
        <v>22</v>
      </c>
      <c r="B27" s="22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23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24" t="n"/>
      <c r="AG27" s="22" t="n"/>
      <c r="AH27" s="22" t="n"/>
      <c r="AI27" s="17">
        <f>IF(AND($B27="",COUNTBLANK(C27:AE27)=29),"",IF($B27="","メニュー名なし",IF(COUNTIF(C27:AE27,"○")+COUNTIF(C27:AE27,"－")+COUNTIF(C27:AE27,"？")+COUNTBLANK(C27:AE27)&lt;&gt;29,"入力値エラー",IF(COUNTIF(C27:AE27,"？")+COUNTBLANK(C27:AE27)&gt;0,"未確認あり",IF(ISBLANK(AF27),"確認日なし",IF(ISBLANK(AG27),"確認者なし","確認済み"))))))</f>
        <v/>
      </c>
      <c r="AJ27" s="21">
        <f>IF(AND($B27="",COUNTBLANK(C27:AE27)=29),"",COUNTIF(C27:AE27,"○"))</f>
        <v/>
      </c>
      <c r="AK27" s="21">
        <f>IF(AND($B27="",COUNTBLANK(C27:AE27)=29),"",COUNTIF(C27:AE27,"？")+COUNTBLANK(C27:AE27))</f>
        <v/>
      </c>
    </row>
    <row r="28" ht="30" customHeight="1">
      <c r="A28" s="21" t="n">
        <v>23</v>
      </c>
      <c r="B28" s="22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23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24" t="n"/>
      <c r="AG28" s="22" t="n"/>
      <c r="AH28" s="22" t="n"/>
      <c r="AI28" s="17">
        <f>IF(AND($B28="",COUNTBLANK(C28:AE28)=29),"",IF($B28="","メニュー名なし",IF(COUNTIF(C28:AE28,"○")+COUNTIF(C28:AE28,"－")+COUNTIF(C28:AE28,"？")+COUNTBLANK(C28:AE28)&lt;&gt;29,"入力値エラー",IF(COUNTIF(C28:AE28,"？")+COUNTBLANK(C28:AE28)&gt;0,"未確認あり",IF(ISBLANK(AF28),"確認日なし",IF(ISBLANK(AG28),"確認者なし","確認済み"))))))</f>
        <v/>
      </c>
      <c r="AJ28" s="21">
        <f>IF(AND($B28="",COUNTBLANK(C28:AE28)=29),"",COUNTIF(C28:AE28,"○"))</f>
        <v/>
      </c>
      <c r="AK28" s="21">
        <f>IF(AND($B28="",COUNTBLANK(C28:AE28)=29),"",COUNTIF(C28:AE28,"？")+COUNTBLANK(C28:AE28))</f>
        <v/>
      </c>
    </row>
    <row r="29" ht="30" customHeight="1">
      <c r="A29" s="21" t="n">
        <v>24</v>
      </c>
      <c r="B29" s="22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23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24" t="n"/>
      <c r="AG29" s="22" t="n"/>
      <c r="AH29" s="22" t="n"/>
      <c r="AI29" s="17">
        <f>IF(AND($B29="",COUNTBLANK(C29:AE29)=29),"",IF($B29="","メニュー名なし",IF(COUNTIF(C29:AE29,"○")+COUNTIF(C29:AE29,"－")+COUNTIF(C29:AE29,"？")+COUNTBLANK(C29:AE29)&lt;&gt;29,"入力値エラー",IF(COUNTIF(C29:AE29,"？")+COUNTBLANK(C29:AE29)&gt;0,"未確認あり",IF(ISBLANK(AF29),"確認日なし",IF(ISBLANK(AG29),"確認者なし","確認済み"))))))</f>
        <v/>
      </c>
      <c r="AJ29" s="21">
        <f>IF(AND($B29="",COUNTBLANK(C29:AE29)=29),"",COUNTIF(C29:AE29,"○"))</f>
        <v/>
      </c>
      <c r="AK29" s="21">
        <f>IF(AND($B29="",COUNTBLANK(C29:AE29)=29),"",COUNTIF(C29:AE29,"？")+COUNTBLANK(C29:AE29))</f>
        <v/>
      </c>
    </row>
    <row r="30" ht="30" customHeight="1">
      <c r="A30" s="21" t="n">
        <v>25</v>
      </c>
      <c r="B30" s="22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23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24" t="n"/>
      <c r="AG30" s="22" t="n"/>
      <c r="AH30" s="22" t="n"/>
      <c r="AI30" s="17">
        <f>IF(AND($B30="",COUNTBLANK(C30:AE30)=29),"",IF($B30="","メニュー名なし",IF(COUNTIF(C30:AE30,"○")+COUNTIF(C30:AE30,"－")+COUNTIF(C30:AE30,"？")+COUNTBLANK(C30:AE30)&lt;&gt;29,"入力値エラー",IF(COUNTIF(C30:AE30,"？")+COUNTBLANK(C30:AE30)&gt;0,"未確認あり",IF(ISBLANK(AF30),"確認日なし",IF(ISBLANK(AG30),"確認者なし","確認済み"))))))</f>
        <v/>
      </c>
      <c r="AJ30" s="21">
        <f>IF(AND($B30="",COUNTBLANK(C30:AE30)=29),"",COUNTIF(C30:AE30,"○"))</f>
        <v/>
      </c>
      <c r="AK30" s="21">
        <f>IF(AND($B30="",COUNTBLANK(C30:AE30)=29),"",COUNTIF(C30:AE30,"？")+COUNTBLANK(C30:AE30))</f>
        <v/>
      </c>
    </row>
    <row r="31" ht="30" customHeight="1">
      <c r="A31" s="21" t="n">
        <v>26</v>
      </c>
      <c r="B31" s="22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23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24" t="n"/>
      <c r="AG31" s="22" t="n"/>
      <c r="AH31" s="22" t="n"/>
      <c r="AI31" s="17">
        <f>IF(AND($B31="",COUNTBLANK(C31:AE31)=29),"",IF($B31="","メニュー名なし",IF(COUNTIF(C31:AE31,"○")+COUNTIF(C31:AE31,"－")+COUNTIF(C31:AE31,"？")+COUNTBLANK(C31:AE31)&lt;&gt;29,"入力値エラー",IF(COUNTIF(C31:AE31,"？")+COUNTBLANK(C31:AE31)&gt;0,"未確認あり",IF(ISBLANK(AF31),"確認日なし",IF(ISBLANK(AG31),"確認者なし","確認済み"))))))</f>
        <v/>
      </c>
      <c r="AJ31" s="21">
        <f>IF(AND($B31="",COUNTBLANK(C31:AE31)=29),"",COUNTIF(C31:AE31,"○"))</f>
        <v/>
      </c>
      <c r="AK31" s="21">
        <f>IF(AND($B31="",COUNTBLANK(C31:AE31)=29),"",COUNTIF(C31:AE31,"？")+COUNTBLANK(C31:AE31))</f>
        <v/>
      </c>
    </row>
    <row r="32" ht="30" customHeight="1">
      <c r="A32" s="21" t="n">
        <v>27</v>
      </c>
      <c r="B32" s="22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23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24" t="n"/>
      <c r="AG32" s="22" t="n"/>
      <c r="AH32" s="22" t="n"/>
      <c r="AI32" s="17">
        <f>IF(AND($B32="",COUNTBLANK(C32:AE32)=29),"",IF($B32="","メニュー名なし",IF(COUNTIF(C32:AE32,"○")+COUNTIF(C32:AE32,"－")+COUNTIF(C32:AE32,"？")+COUNTBLANK(C32:AE32)&lt;&gt;29,"入力値エラー",IF(COUNTIF(C32:AE32,"？")+COUNTBLANK(C32:AE32)&gt;0,"未確認あり",IF(ISBLANK(AF32),"確認日なし",IF(ISBLANK(AG32),"確認者なし","確認済み"))))))</f>
        <v/>
      </c>
      <c r="AJ32" s="21">
        <f>IF(AND($B32="",COUNTBLANK(C32:AE32)=29),"",COUNTIF(C32:AE32,"○"))</f>
        <v/>
      </c>
      <c r="AK32" s="21">
        <f>IF(AND($B32="",COUNTBLANK(C32:AE32)=29),"",COUNTIF(C32:AE32,"？")+COUNTBLANK(C32:AE32))</f>
        <v/>
      </c>
    </row>
    <row r="33" ht="30" customHeight="1">
      <c r="A33" s="21" t="n">
        <v>28</v>
      </c>
      <c r="B33" s="22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23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24" t="n"/>
      <c r="AG33" s="22" t="n"/>
      <c r="AH33" s="22" t="n"/>
      <c r="AI33" s="17">
        <f>IF(AND($B33="",COUNTBLANK(C33:AE33)=29),"",IF($B33="","メニュー名なし",IF(COUNTIF(C33:AE33,"○")+COUNTIF(C33:AE33,"－")+COUNTIF(C33:AE33,"？")+COUNTBLANK(C33:AE33)&lt;&gt;29,"入力値エラー",IF(COUNTIF(C33:AE33,"？")+COUNTBLANK(C33:AE33)&gt;0,"未確認あり",IF(ISBLANK(AF33),"確認日なし",IF(ISBLANK(AG33),"確認者なし","確認済み"))))))</f>
        <v/>
      </c>
      <c r="AJ33" s="21">
        <f>IF(AND($B33="",COUNTBLANK(C33:AE33)=29),"",COUNTIF(C33:AE33,"○"))</f>
        <v/>
      </c>
      <c r="AK33" s="21">
        <f>IF(AND($B33="",COUNTBLANK(C33:AE33)=29),"",COUNTIF(C33:AE33,"？")+COUNTBLANK(C33:AE33))</f>
        <v/>
      </c>
    </row>
    <row r="34" ht="30" customHeight="1">
      <c r="A34" s="21" t="n">
        <v>29</v>
      </c>
      <c r="B34" s="22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23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24" t="n"/>
      <c r="AG34" s="22" t="n"/>
      <c r="AH34" s="22" t="n"/>
      <c r="AI34" s="17">
        <f>IF(AND($B34="",COUNTBLANK(C34:AE34)=29),"",IF($B34="","メニュー名なし",IF(COUNTIF(C34:AE34,"○")+COUNTIF(C34:AE34,"－")+COUNTIF(C34:AE34,"？")+COUNTBLANK(C34:AE34)&lt;&gt;29,"入力値エラー",IF(COUNTIF(C34:AE34,"？")+COUNTBLANK(C34:AE34)&gt;0,"未確認あり",IF(ISBLANK(AF34),"確認日なし",IF(ISBLANK(AG34),"確認者なし","確認済み"))))))</f>
        <v/>
      </c>
      <c r="AJ34" s="21">
        <f>IF(AND($B34="",COUNTBLANK(C34:AE34)=29),"",COUNTIF(C34:AE34,"○"))</f>
        <v/>
      </c>
      <c r="AK34" s="21">
        <f>IF(AND($B34="",COUNTBLANK(C34:AE34)=29),"",COUNTIF(C34:AE34,"？")+COUNTBLANK(C34:AE34))</f>
        <v/>
      </c>
    </row>
    <row r="35" ht="30" customHeight="1">
      <c r="A35" s="21" t="n">
        <v>30</v>
      </c>
      <c r="B35" s="22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23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24" t="n"/>
      <c r="AG35" s="22" t="n"/>
      <c r="AH35" s="22" t="n"/>
      <c r="AI35" s="17">
        <f>IF(AND($B35="",COUNTBLANK(C35:AE35)=29),"",IF($B35="","メニュー名なし",IF(COUNTIF(C35:AE35,"○")+COUNTIF(C35:AE35,"－")+COUNTIF(C35:AE35,"？")+COUNTBLANK(C35:AE35)&lt;&gt;29,"入力値エラー",IF(COUNTIF(C35:AE35,"？")+COUNTBLANK(C35:AE35)&gt;0,"未確認あり",IF(ISBLANK(AF35),"確認日なし",IF(ISBLANK(AG35),"確認者なし","確認済み"))))))</f>
        <v/>
      </c>
      <c r="AJ35" s="21">
        <f>IF(AND($B35="",COUNTBLANK(C35:AE35)=29),"",COUNTIF(C35:AE35,"○"))</f>
        <v/>
      </c>
      <c r="AK35" s="21">
        <f>IF(AND($B35="",COUNTBLANK(C35:AE35)=29),"",COUNTIF(C35:AE35,"？")+COUNTBLANK(C35:AE35))</f>
        <v/>
      </c>
    </row>
    <row r="36" ht="30" customHeight="1">
      <c r="A36" s="21" t="n">
        <v>31</v>
      </c>
      <c r="B36" s="22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23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24" t="n"/>
      <c r="AG36" s="22" t="n"/>
      <c r="AH36" s="22" t="n"/>
      <c r="AI36" s="17">
        <f>IF(AND($B36="",COUNTBLANK(C36:AE36)=29),"",IF($B36="","メニュー名なし",IF(COUNTIF(C36:AE36,"○")+COUNTIF(C36:AE36,"－")+COUNTIF(C36:AE36,"？")+COUNTBLANK(C36:AE36)&lt;&gt;29,"入力値エラー",IF(COUNTIF(C36:AE36,"？")+COUNTBLANK(C36:AE36)&gt;0,"未確認あり",IF(ISBLANK(AF36),"確認日なし",IF(ISBLANK(AG36),"確認者なし","確認済み"))))))</f>
        <v/>
      </c>
      <c r="AJ36" s="21">
        <f>IF(AND($B36="",COUNTBLANK(C36:AE36)=29),"",COUNTIF(C36:AE36,"○"))</f>
        <v/>
      </c>
      <c r="AK36" s="21">
        <f>IF(AND($B36="",COUNTBLANK(C36:AE36)=29),"",COUNTIF(C36:AE36,"？")+COUNTBLANK(C36:AE36))</f>
        <v/>
      </c>
    </row>
    <row r="37" ht="30" customHeight="1">
      <c r="A37" s="21" t="n">
        <v>32</v>
      </c>
      <c r="B37" s="22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23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24" t="n"/>
      <c r="AG37" s="22" t="n"/>
      <c r="AH37" s="22" t="n"/>
      <c r="AI37" s="17">
        <f>IF(AND($B37="",COUNTBLANK(C37:AE37)=29),"",IF($B37="","メニュー名なし",IF(COUNTIF(C37:AE37,"○")+COUNTIF(C37:AE37,"－")+COUNTIF(C37:AE37,"？")+COUNTBLANK(C37:AE37)&lt;&gt;29,"入力値エラー",IF(COUNTIF(C37:AE37,"？")+COUNTBLANK(C37:AE37)&gt;0,"未確認あり",IF(ISBLANK(AF37),"確認日なし",IF(ISBLANK(AG37),"確認者なし","確認済み"))))))</f>
        <v/>
      </c>
      <c r="AJ37" s="21">
        <f>IF(AND($B37="",COUNTBLANK(C37:AE37)=29),"",COUNTIF(C37:AE37,"○"))</f>
        <v/>
      </c>
      <c r="AK37" s="21">
        <f>IF(AND($B37="",COUNTBLANK(C37:AE37)=29),"",COUNTIF(C37:AE37,"？")+COUNTBLANK(C37:AE37))</f>
        <v/>
      </c>
    </row>
    <row r="38" ht="30" customHeight="1">
      <c r="A38" s="21" t="n">
        <v>33</v>
      </c>
      <c r="B38" s="22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23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24" t="n"/>
      <c r="AG38" s="22" t="n"/>
      <c r="AH38" s="22" t="n"/>
      <c r="AI38" s="17">
        <f>IF(AND($B38="",COUNTBLANK(C38:AE38)=29),"",IF($B38="","メニュー名なし",IF(COUNTIF(C38:AE38,"○")+COUNTIF(C38:AE38,"－")+COUNTIF(C38:AE38,"？")+COUNTBLANK(C38:AE38)&lt;&gt;29,"入力値エラー",IF(COUNTIF(C38:AE38,"？")+COUNTBLANK(C38:AE38)&gt;0,"未確認あり",IF(ISBLANK(AF38),"確認日なし",IF(ISBLANK(AG38),"確認者なし","確認済み"))))))</f>
        <v/>
      </c>
      <c r="AJ38" s="21">
        <f>IF(AND($B38="",COUNTBLANK(C38:AE38)=29),"",COUNTIF(C38:AE38,"○"))</f>
        <v/>
      </c>
      <c r="AK38" s="21">
        <f>IF(AND($B38="",COUNTBLANK(C38:AE38)=29),"",COUNTIF(C38:AE38,"？")+COUNTBLANK(C38:AE38))</f>
        <v/>
      </c>
    </row>
    <row r="39" ht="30" customHeight="1">
      <c r="A39" s="21" t="n">
        <v>34</v>
      </c>
      <c r="B39" s="22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23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24" t="n"/>
      <c r="AG39" s="22" t="n"/>
      <c r="AH39" s="22" t="n"/>
      <c r="AI39" s="17">
        <f>IF(AND($B39="",COUNTBLANK(C39:AE39)=29),"",IF($B39="","メニュー名なし",IF(COUNTIF(C39:AE39,"○")+COUNTIF(C39:AE39,"－")+COUNTIF(C39:AE39,"？")+COUNTBLANK(C39:AE39)&lt;&gt;29,"入力値エラー",IF(COUNTIF(C39:AE39,"？")+COUNTBLANK(C39:AE39)&gt;0,"未確認あり",IF(ISBLANK(AF39),"確認日なし",IF(ISBLANK(AG39),"確認者なし","確認済み"))))))</f>
        <v/>
      </c>
      <c r="AJ39" s="21">
        <f>IF(AND($B39="",COUNTBLANK(C39:AE39)=29),"",COUNTIF(C39:AE39,"○"))</f>
        <v/>
      </c>
      <c r="AK39" s="21">
        <f>IF(AND($B39="",COUNTBLANK(C39:AE39)=29),"",COUNTIF(C39:AE39,"？")+COUNTBLANK(C39:AE39))</f>
        <v/>
      </c>
    </row>
    <row r="40" ht="30" customHeight="1">
      <c r="A40" s="21" t="n">
        <v>35</v>
      </c>
      <c r="B40" s="22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23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24" t="n"/>
      <c r="AG40" s="22" t="n"/>
      <c r="AH40" s="22" t="n"/>
      <c r="AI40" s="17">
        <f>IF(AND($B40="",COUNTBLANK(C40:AE40)=29),"",IF($B40="","メニュー名なし",IF(COUNTIF(C40:AE40,"○")+COUNTIF(C40:AE40,"－")+COUNTIF(C40:AE40,"？")+COUNTBLANK(C40:AE40)&lt;&gt;29,"入力値エラー",IF(COUNTIF(C40:AE40,"？")+COUNTBLANK(C40:AE40)&gt;0,"未確認あり",IF(ISBLANK(AF40),"確認日なし",IF(ISBLANK(AG40),"確認者なし","確認済み"))))))</f>
        <v/>
      </c>
      <c r="AJ40" s="21">
        <f>IF(AND($B40="",COUNTBLANK(C40:AE40)=29),"",COUNTIF(C40:AE40,"○"))</f>
        <v/>
      </c>
      <c r="AK40" s="21">
        <f>IF(AND($B40="",COUNTBLANK(C40:AE40)=29),"",COUNTIF(C40:AE40,"？")+COUNTBLANK(C40:AE40))</f>
        <v/>
      </c>
    </row>
    <row r="41" ht="30" customHeight="1">
      <c r="A41" s="21" t="n">
        <v>36</v>
      </c>
      <c r="B41" s="22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23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24" t="n"/>
      <c r="AG41" s="22" t="n"/>
      <c r="AH41" s="22" t="n"/>
      <c r="AI41" s="17">
        <f>IF(AND($B41="",COUNTBLANK(C41:AE41)=29),"",IF($B41="","メニュー名なし",IF(COUNTIF(C41:AE41,"○")+COUNTIF(C41:AE41,"－")+COUNTIF(C41:AE41,"？")+COUNTBLANK(C41:AE41)&lt;&gt;29,"入力値エラー",IF(COUNTIF(C41:AE41,"？")+COUNTBLANK(C41:AE41)&gt;0,"未確認あり",IF(ISBLANK(AF41),"確認日なし",IF(ISBLANK(AG41),"確認者なし","確認済み"))))))</f>
        <v/>
      </c>
      <c r="AJ41" s="21">
        <f>IF(AND($B41="",COUNTBLANK(C41:AE41)=29),"",COUNTIF(C41:AE41,"○"))</f>
        <v/>
      </c>
      <c r="AK41" s="21">
        <f>IF(AND($B41="",COUNTBLANK(C41:AE41)=29),"",COUNTIF(C41:AE41,"？")+COUNTBLANK(C41:AE41))</f>
        <v/>
      </c>
    </row>
    <row r="42" ht="30" customHeight="1">
      <c r="A42" s="21" t="n">
        <v>37</v>
      </c>
      <c r="B42" s="22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23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24" t="n"/>
      <c r="AG42" s="22" t="n"/>
      <c r="AH42" s="22" t="n"/>
      <c r="AI42" s="17">
        <f>IF(AND($B42="",COUNTBLANK(C42:AE42)=29),"",IF($B42="","メニュー名なし",IF(COUNTIF(C42:AE42,"○")+COUNTIF(C42:AE42,"－")+COUNTIF(C42:AE42,"？")+COUNTBLANK(C42:AE42)&lt;&gt;29,"入力値エラー",IF(COUNTIF(C42:AE42,"？")+COUNTBLANK(C42:AE42)&gt;0,"未確認あり",IF(ISBLANK(AF42),"確認日なし",IF(ISBLANK(AG42),"確認者なし","確認済み"))))))</f>
        <v/>
      </c>
      <c r="AJ42" s="21">
        <f>IF(AND($B42="",COUNTBLANK(C42:AE42)=29),"",COUNTIF(C42:AE42,"○"))</f>
        <v/>
      </c>
      <c r="AK42" s="21">
        <f>IF(AND($B42="",COUNTBLANK(C42:AE42)=29),"",COUNTIF(C42:AE42,"？")+COUNTBLANK(C42:AE42))</f>
        <v/>
      </c>
    </row>
    <row r="43" ht="30" customHeight="1">
      <c r="A43" s="21" t="n">
        <v>38</v>
      </c>
      <c r="B43" s="22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23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24" t="n"/>
      <c r="AG43" s="22" t="n"/>
      <c r="AH43" s="22" t="n"/>
      <c r="AI43" s="17">
        <f>IF(AND($B43="",COUNTBLANK(C43:AE43)=29),"",IF($B43="","メニュー名なし",IF(COUNTIF(C43:AE43,"○")+COUNTIF(C43:AE43,"－")+COUNTIF(C43:AE43,"？")+COUNTBLANK(C43:AE43)&lt;&gt;29,"入力値エラー",IF(COUNTIF(C43:AE43,"？")+COUNTBLANK(C43:AE43)&gt;0,"未確認あり",IF(ISBLANK(AF43),"確認日なし",IF(ISBLANK(AG43),"確認者なし","確認済み"))))))</f>
        <v/>
      </c>
      <c r="AJ43" s="21">
        <f>IF(AND($B43="",COUNTBLANK(C43:AE43)=29),"",COUNTIF(C43:AE43,"○"))</f>
        <v/>
      </c>
      <c r="AK43" s="21">
        <f>IF(AND($B43="",COUNTBLANK(C43:AE43)=29),"",COUNTIF(C43:AE43,"？")+COUNTBLANK(C43:AE43))</f>
        <v/>
      </c>
    </row>
    <row r="44" ht="30" customHeight="1">
      <c r="A44" s="21" t="n">
        <v>39</v>
      </c>
      <c r="B44" s="22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23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24" t="n"/>
      <c r="AG44" s="22" t="n"/>
      <c r="AH44" s="22" t="n"/>
      <c r="AI44" s="17">
        <f>IF(AND($B44="",COUNTBLANK(C44:AE44)=29),"",IF($B44="","メニュー名なし",IF(COUNTIF(C44:AE44,"○")+COUNTIF(C44:AE44,"－")+COUNTIF(C44:AE44,"？")+COUNTBLANK(C44:AE44)&lt;&gt;29,"入力値エラー",IF(COUNTIF(C44:AE44,"？")+COUNTBLANK(C44:AE44)&gt;0,"未確認あり",IF(ISBLANK(AF44),"確認日なし",IF(ISBLANK(AG44),"確認者なし","確認済み"))))))</f>
        <v/>
      </c>
      <c r="AJ44" s="21">
        <f>IF(AND($B44="",COUNTBLANK(C44:AE44)=29),"",COUNTIF(C44:AE44,"○"))</f>
        <v/>
      </c>
      <c r="AK44" s="21">
        <f>IF(AND($B44="",COUNTBLANK(C44:AE44)=29),"",COUNTIF(C44:AE44,"？")+COUNTBLANK(C44:AE44))</f>
        <v/>
      </c>
    </row>
    <row r="45" ht="30" customHeight="1">
      <c r="A45" s="21" t="n">
        <v>40</v>
      </c>
      <c r="B45" s="22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23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24" t="n"/>
      <c r="AG45" s="22" t="n"/>
      <c r="AH45" s="22" t="n"/>
      <c r="AI45" s="17">
        <f>IF(AND($B45="",COUNTBLANK(C45:AE45)=29),"",IF($B45="","メニュー名なし",IF(COUNTIF(C45:AE45,"○")+COUNTIF(C45:AE45,"－")+COUNTIF(C45:AE45,"？")+COUNTBLANK(C45:AE45)&lt;&gt;29,"入力値エラー",IF(COUNTIF(C45:AE45,"？")+COUNTBLANK(C45:AE45)&gt;0,"未確認あり",IF(ISBLANK(AF45),"確認日なし",IF(ISBLANK(AG45),"確認者なし","確認済み"))))))</f>
        <v/>
      </c>
      <c r="AJ45" s="21">
        <f>IF(AND($B45="",COUNTBLANK(C45:AE45)=29),"",COUNTIF(C45:AE45,"○"))</f>
        <v/>
      </c>
      <c r="AK45" s="21">
        <f>IF(AND($B45="",COUNTBLANK(C45:AE45)=29),"",COUNTIF(C45:AE45,"？")+COUNTBLANK(C45:AE45))</f>
        <v/>
      </c>
    </row>
    <row r="46" ht="30" customHeight="1">
      <c r="A46" s="21" t="n">
        <v>41</v>
      </c>
      <c r="B46" s="22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23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24" t="n"/>
      <c r="AG46" s="22" t="n"/>
      <c r="AH46" s="22" t="n"/>
      <c r="AI46" s="17">
        <f>IF(AND($B46="",COUNTBLANK(C46:AE46)=29),"",IF($B46="","メニュー名なし",IF(COUNTIF(C46:AE46,"○")+COUNTIF(C46:AE46,"－")+COUNTIF(C46:AE46,"？")+COUNTBLANK(C46:AE46)&lt;&gt;29,"入力値エラー",IF(COUNTIF(C46:AE46,"？")+COUNTBLANK(C46:AE46)&gt;0,"未確認あり",IF(ISBLANK(AF46),"確認日なし",IF(ISBLANK(AG46),"確認者なし","確認済み"))))))</f>
        <v/>
      </c>
      <c r="AJ46" s="21">
        <f>IF(AND($B46="",COUNTBLANK(C46:AE46)=29),"",COUNTIF(C46:AE46,"○"))</f>
        <v/>
      </c>
      <c r="AK46" s="21">
        <f>IF(AND($B46="",COUNTBLANK(C46:AE46)=29),"",COUNTIF(C46:AE46,"？")+COUNTBLANK(C46:AE46))</f>
        <v/>
      </c>
    </row>
    <row r="47" ht="30" customHeight="1">
      <c r="A47" s="21" t="n">
        <v>42</v>
      </c>
      <c r="B47" s="22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23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24" t="n"/>
      <c r="AG47" s="22" t="n"/>
      <c r="AH47" s="22" t="n"/>
      <c r="AI47" s="17">
        <f>IF(AND($B47="",COUNTBLANK(C47:AE47)=29),"",IF($B47="","メニュー名なし",IF(COUNTIF(C47:AE47,"○")+COUNTIF(C47:AE47,"－")+COUNTIF(C47:AE47,"？")+COUNTBLANK(C47:AE47)&lt;&gt;29,"入力値エラー",IF(COUNTIF(C47:AE47,"？")+COUNTBLANK(C47:AE47)&gt;0,"未確認あり",IF(ISBLANK(AF47),"確認日なし",IF(ISBLANK(AG47),"確認者なし","確認済み"))))))</f>
        <v/>
      </c>
      <c r="AJ47" s="21">
        <f>IF(AND($B47="",COUNTBLANK(C47:AE47)=29),"",COUNTIF(C47:AE47,"○"))</f>
        <v/>
      </c>
      <c r="AK47" s="21">
        <f>IF(AND($B47="",COUNTBLANK(C47:AE47)=29),"",COUNTIF(C47:AE47,"？")+COUNTBLANK(C47:AE47))</f>
        <v/>
      </c>
    </row>
    <row r="48" ht="30" customHeight="1">
      <c r="A48" s="21" t="n">
        <v>43</v>
      </c>
      <c r="B48" s="22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23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24" t="n"/>
      <c r="AG48" s="22" t="n"/>
      <c r="AH48" s="22" t="n"/>
      <c r="AI48" s="17">
        <f>IF(AND($B48="",COUNTBLANK(C48:AE48)=29),"",IF($B48="","メニュー名なし",IF(COUNTIF(C48:AE48,"○")+COUNTIF(C48:AE48,"－")+COUNTIF(C48:AE48,"？")+COUNTBLANK(C48:AE48)&lt;&gt;29,"入力値エラー",IF(COUNTIF(C48:AE48,"？")+COUNTBLANK(C48:AE48)&gt;0,"未確認あり",IF(ISBLANK(AF48),"確認日なし",IF(ISBLANK(AG48),"確認者なし","確認済み"))))))</f>
        <v/>
      </c>
      <c r="AJ48" s="21">
        <f>IF(AND($B48="",COUNTBLANK(C48:AE48)=29),"",COUNTIF(C48:AE48,"○"))</f>
        <v/>
      </c>
      <c r="AK48" s="21">
        <f>IF(AND($B48="",COUNTBLANK(C48:AE48)=29),"",COUNTIF(C48:AE48,"？")+COUNTBLANK(C48:AE48))</f>
        <v/>
      </c>
    </row>
    <row r="49" ht="30" customHeight="1">
      <c r="A49" s="21" t="n">
        <v>44</v>
      </c>
      <c r="B49" s="22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23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24" t="n"/>
      <c r="AG49" s="22" t="n"/>
      <c r="AH49" s="22" t="n"/>
      <c r="AI49" s="17">
        <f>IF(AND($B49="",COUNTBLANK(C49:AE49)=29),"",IF($B49="","メニュー名なし",IF(COUNTIF(C49:AE49,"○")+COUNTIF(C49:AE49,"－")+COUNTIF(C49:AE49,"？")+COUNTBLANK(C49:AE49)&lt;&gt;29,"入力値エラー",IF(COUNTIF(C49:AE49,"？")+COUNTBLANK(C49:AE49)&gt;0,"未確認あり",IF(ISBLANK(AF49),"確認日なし",IF(ISBLANK(AG49),"確認者なし","確認済み"))))))</f>
        <v/>
      </c>
      <c r="AJ49" s="21">
        <f>IF(AND($B49="",COUNTBLANK(C49:AE49)=29),"",COUNTIF(C49:AE49,"○"))</f>
        <v/>
      </c>
      <c r="AK49" s="21">
        <f>IF(AND($B49="",COUNTBLANK(C49:AE49)=29),"",COUNTIF(C49:AE49,"？")+COUNTBLANK(C49:AE49))</f>
        <v/>
      </c>
    </row>
    <row r="50" ht="30" customHeight="1">
      <c r="A50" s="21" t="n">
        <v>45</v>
      </c>
      <c r="B50" s="22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23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24" t="n"/>
      <c r="AG50" s="22" t="n"/>
      <c r="AH50" s="22" t="n"/>
      <c r="AI50" s="17">
        <f>IF(AND($B50="",COUNTBLANK(C50:AE50)=29),"",IF($B50="","メニュー名なし",IF(COUNTIF(C50:AE50,"○")+COUNTIF(C50:AE50,"－")+COUNTIF(C50:AE50,"？")+COUNTBLANK(C50:AE50)&lt;&gt;29,"入力値エラー",IF(COUNTIF(C50:AE50,"？")+COUNTBLANK(C50:AE50)&gt;0,"未確認あり",IF(ISBLANK(AF50),"確認日なし",IF(ISBLANK(AG50),"確認者なし","確認済み"))))))</f>
        <v/>
      </c>
      <c r="AJ50" s="21">
        <f>IF(AND($B50="",COUNTBLANK(C50:AE50)=29),"",COUNTIF(C50:AE50,"○"))</f>
        <v/>
      </c>
      <c r="AK50" s="21">
        <f>IF(AND($B50="",COUNTBLANK(C50:AE50)=29),"",COUNTIF(C50:AE50,"？")+COUNTBLANK(C50:AE50))</f>
        <v/>
      </c>
    </row>
    <row r="51" ht="30" customHeight="1">
      <c r="A51" s="21" t="n">
        <v>46</v>
      </c>
      <c r="B51" s="22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23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24" t="n"/>
      <c r="AG51" s="22" t="n"/>
      <c r="AH51" s="22" t="n"/>
      <c r="AI51" s="17">
        <f>IF(AND($B51="",COUNTBLANK(C51:AE51)=29),"",IF($B51="","メニュー名なし",IF(COUNTIF(C51:AE51,"○")+COUNTIF(C51:AE51,"－")+COUNTIF(C51:AE51,"？")+COUNTBLANK(C51:AE51)&lt;&gt;29,"入力値エラー",IF(COUNTIF(C51:AE51,"？")+COUNTBLANK(C51:AE51)&gt;0,"未確認あり",IF(ISBLANK(AF51),"確認日なし",IF(ISBLANK(AG51),"確認者なし","確認済み"))))))</f>
        <v/>
      </c>
      <c r="AJ51" s="21">
        <f>IF(AND($B51="",COUNTBLANK(C51:AE51)=29),"",COUNTIF(C51:AE51,"○"))</f>
        <v/>
      </c>
      <c r="AK51" s="21">
        <f>IF(AND($B51="",COUNTBLANK(C51:AE51)=29),"",COUNTIF(C51:AE51,"？")+COUNTBLANK(C51:AE51))</f>
        <v/>
      </c>
    </row>
    <row r="52" ht="30" customHeight="1">
      <c r="A52" s="21" t="n">
        <v>47</v>
      </c>
      <c r="B52" s="22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23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24" t="n"/>
      <c r="AG52" s="22" t="n"/>
      <c r="AH52" s="22" t="n"/>
      <c r="AI52" s="17">
        <f>IF(AND($B52="",COUNTBLANK(C52:AE52)=29),"",IF($B52="","メニュー名なし",IF(COUNTIF(C52:AE52,"○")+COUNTIF(C52:AE52,"－")+COUNTIF(C52:AE52,"？")+COUNTBLANK(C52:AE52)&lt;&gt;29,"入力値エラー",IF(COUNTIF(C52:AE52,"？")+COUNTBLANK(C52:AE52)&gt;0,"未確認あり",IF(ISBLANK(AF52),"確認日なし",IF(ISBLANK(AG52),"確認者なし","確認済み"))))))</f>
        <v/>
      </c>
      <c r="AJ52" s="21">
        <f>IF(AND($B52="",COUNTBLANK(C52:AE52)=29),"",COUNTIF(C52:AE52,"○"))</f>
        <v/>
      </c>
      <c r="AK52" s="21">
        <f>IF(AND($B52="",COUNTBLANK(C52:AE52)=29),"",COUNTIF(C52:AE52,"？")+COUNTBLANK(C52:AE52))</f>
        <v/>
      </c>
    </row>
    <row r="53" ht="30" customHeight="1">
      <c r="A53" s="21" t="n">
        <v>48</v>
      </c>
      <c r="B53" s="22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23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24" t="n"/>
      <c r="AG53" s="22" t="n"/>
      <c r="AH53" s="22" t="n"/>
      <c r="AI53" s="17">
        <f>IF(AND($B53="",COUNTBLANK(C53:AE53)=29),"",IF($B53="","メニュー名なし",IF(COUNTIF(C53:AE53,"○")+COUNTIF(C53:AE53,"－")+COUNTIF(C53:AE53,"？")+COUNTBLANK(C53:AE53)&lt;&gt;29,"入力値エラー",IF(COUNTIF(C53:AE53,"？")+COUNTBLANK(C53:AE53)&gt;0,"未確認あり",IF(ISBLANK(AF53),"確認日なし",IF(ISBLANK(AG53),"確認者なし","確認済み"))))))</f>
        <v/>
      </c>
      <c r="AJ53" s="21">
        <f>IF(AND($B53="",COUNTBLANK(C53:AE53)=29),"",COUNTIF(C53:AE53,"○"))</f>
        <v/>
      </c>
      <c r="AK53" s="21">
        <f>IF(AND($B53="",COUNTBLANK(C53:AE53)=29),"",COUNTIF(C53:AE53,"？")+COUNTBLANK(C53:AE53))</f>
        <v/>
      </c>
    </row>
    <row r="54" ht="30" customHeight="1">
      <c r="A54" s="21" t="n">
        <v>49</v>
      </c>
      <c r="B54" s="22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23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24" t="n"/>
      <c r="AG54" s="22" t="n"/>
      <c r="AH54" s="22" t="n"/>
      <c r="AI54" s="17">
        <f>IF(AND($B54="",COUNTBLANK(C54:AE54)=29),"",IF($B54="","メニュー名なし",IF(COUNTIF(C54:AE54,"○")+COUNTIF(C54:AE54,"－")+COUNTIF(C54:AE54,"？")+COUNTBLANK(C54:AE54)&lt;&gt;29,"入力値エラー",IF(COUNTIF(C54:AE54,"？")+COUNTBLANK(C54:AE54)&gt;0,"未確認あり",IF(ISBLANK(AF54),"確認日なし",IF(ISBLANK(AG54),"確認者なし","確認済み"))))))</f>
        <v/>
      </c>
      <c r="AJ54" s="21">
        <f>IF(AND($B54="",COUNTBLANK(C54:AE54)=29),"",COUNTIF(C54:AE54,"○"))</f>
        <v/>
      </c>
      <c r="AK54" s="21">
        <f>IF(AND($B54="",COUNTBLANK(C54:AE54)=29),"",COUNTIF(C54:AE54,"？")+COUNTBLANK(C54:AE54))</f>
        <v/>
      </c>
    </row>
    <row r="55" ht="30" customHeight="1">
      <c r="A55" s="21" t="n">
        <v>50</v>
      </c>
      <c r="B55" s="22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23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24" t="n"/>
      <c r="AG55" s="22" t="n"/>
      <c r="AH55" s="22" t="n"/>
      <c r="AI55" s="17">
        <f>IF(AND($B55="",COUNTBLANK(C55:AE55)=29),"",IF($B55="","メニュー名なし",IF(COUNTIF(C55:AE55,"○")+COUNTIF(C55:AE55,"－")+COUNTIF(C55:AE55,"？")+COUNTBLANK(C55:AE55)&lt;&gt;29,"入力値エラー",IF(COUNTIF(C55:AE55,"？")+COUNTBLANK(C55:AE55)&gt;0,"未確認あり",IF(ISBLANK(AF55),"確認日なし",IF(ISBLANK(AG55),"確認者なし","確認済み"))))))</f>
        <v/>
      </c>
      <c r="AJ55" s="21">
        <f>IF(AND($B55="",COUNTBLANK(C55:AE55)=29),"",COUNTIF(C55:AE55,"○"))</f>
        <v/>
      </c>
      <c r="AK55" s="21">
        <f>IF(AND($B55="",COUNTBLANK(C55:AE55)=29),"",COUNTIF(C55:AE55,"？")+COUNTBLANK(C55:AE55))</f>
        <v/>
      </c>
    </row>
  </sheetData>
  <mergeCells count="10">
    <mergeCell ref="B4:B5"/>
    <mergeCell ref="AF2:AH2"/>
    <mergeCell ref="A4:A5"/>
    <mergeCell ref="AI4:AI5"/>
    <mergeCell ref="AF4:AF5"/>
    <mergeCell ref="AG4:AG5"/>
    <mergeCell ref="AJ4:AJ5"/>
    <mergeCell ref="AF3:AH3"/>
    <mergeCell ref="AH4:AH5"/>
    <mergeCell ref="AK4:AK5"/>
  </mergeCells>
  <conditionalFormatting sqref="C6:AE55">
    <cfRule type="cellIs" priority="1" operator="equal" dxfId="0">
      <formula>"？"</formula>
    </cfRule>
    <cfRule type="cellIs" priority="2" operator="equal" dxfId="1">
      <formula>"○"</formula>
    </cfRule>
  </conditionalFormatting>
  <conditionalFormatting sqref="AI6:AI55">
    <cfRule type="cellIs" priority="3" operator="equal" dxfId="2">
      <formula>"未確認あり"</formula>
    </cfRule>
  </conditionalFormatting>
  <dataValidations count="1">
    <dataValidation sqref="C6:AE55" showDropDown="0" showInputMessage="0" showErrorMessage="1" allowBlank="1" errorTitle="入力できる値" error="○（含む）、－（含まない）、？（未確認）から選んでください。" type="list" errorStyle="stop">
      <formula1>'品目リスト'!$I$5:$I$7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AF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10.5" customWidth="1" min="31" max="31"/>
    <col width="28.8" customWidth="1" min="32" max="32"/>
  </cols>
  <sheetData>
    <row r="1" ht="24" customHeight="1">
      <c r="A1" s="25">
        <f>IF(ISBLANK('入力'!$B$2),"アレルゲン一覧表",'入力'!$B$2&amp;"　アレルゲン一覧表")</f>
        <v/>
      </c>
    </row>
    <row r="2" ht="18" customHeight="1">
      <c r="A2" s="26" t="inlineStr">
        <is>
          <t>○＝含む　　－＝含まない　　？＝未確認（スタッフにおたずねください）　　区分　義務＝特定原材料（9品目）　推奨＝特定原材料に準ずるもの（20品目）</t>
        </is>
      </c>
    </row>
    <row r="3" ht="54" customHeight="1">
      <c r="A3" s="2" t="inlineStr">
        <is>
          <t>この表は、当店がお客様に自主的にお知らせするものです（飲食店のアレルギー表示は法律上の義務ではありません）。内容は当店が原材料を確認して作成していますが、仕入れ先や原材料の変更により変わることがあります。確認した日は「確認日」欄をご覧ください。調理器具・揚げ油などを共用しているため、「－」の品目が混ざる可能性があります。重いアレルギーのあるお客様は、ご注文の前に必ずスタッフにご相談ください。対象は消費者庁の資料による特定原材料等29品目（2026年4月時点）です。</t>
        </is>
      </c>
    </row>
    <row r="4" ht="30" customHeight="1">
      <c r="A4" s="8" t="inlineStr">
        <is>
          <t>区分</t>
        </is>
      </c>
      <c r="B4" s="27">
        <f>'品目リスト'!$B$5</f>
        <v/>
      </c>
      <c r="C4" s="27">
        <f>'品目リスト'!$B$6</f>
        <v/>
      </c>
      <c r="D4" s="27">
        <f>'品目リスト'!$B$7</f>
        <v/>
      </c>
      <c r="E4" s="27">
        <f>'品目リスト'!$B$8</f>
        <v/>
      </c>
      <c r="F4" s="27">
        <f>'品目リスト'!$B$9</f>
        <v/>
      </c>
      <c r="G4" s="27">
        <f>'品目リスト'!$B$10</f>
        <v/>
      </c>
      <c r="H4" s="27">
        <f>'品目リスト'!$B$11</f>
        <v/>
      </c>
      <c r="I4" s="27">
        <f>'品目リスト'!$B$12</f>
        <v/>
      </c>
      <c r="J4" s="28">
        <f>'品目リスト'!$B$13</f>
        <v/>
      </c>
      <c r="K4" s="27">
        <f>'品目リスト'!$B$14</f>
        <v/>
      </c>
      <c r="L4" s="27">
        <f>'品目リスト'!$B$15</f>
        <v/>
      </c>
      <c r="M4" s="27">
        <f>'品目リスト'!$B$16</f>
        <v/>
      </c>
      <c r="N4" s="27">
        <f>'品目リスト'!$B$17</f>
        <v/>
      </c>
      <c r="O4" s="27">
        <f>'品目リスト'!$B$18</f>
        <v/>
      </c>
      <c r="P4" s="27">
        <f>'品目リスト'!$B$19</f>
        <v/>
      </c>
      <c r="Q4" s="27">
        <f>'品目リスト'!$B$20</f>
        <v/>
      </c>
      <c r="R4" s="27">
        <f>'品目リスト'!$B$21</f>
        <v/>
      </c>
      <c r="S4" s="27">
        <f>'品目リスト'!$B$22</f>
        <v/>
      </c>
      <c r="T4" s="27">
        <f>'品目リスト'!$B$23</f>
        <v/>
      </c>
      <c r="U4" s="27">
        <f>'品目リスト'!$B$24</f>
        <v/>
      </c>
      <c r="V4" s="27">
        <f>'品目リスト'!$B$25</f>
        <v/>
      </c>
      <c r="W4" s="27">
        <f>'品目リスト'!$B$26</f>
        <v/>
      </c>
      <c r="X4" s="27">
        <f>'品目リスト'!$B$27</f>
        <v/>
      </c>
      <c r="Y4" s="27">
        <f>'品目リスト'!$B$28</f>
        <v/>
      </c>
      <c r="Z4" s="27">
        <f>'品目リスト'!$B$29</f>
        <v/>
      </c>
      <c r="AA4" s="27">
        <f>'品目リスト'!$B$30</f>
        <v/>
      </c>
      <c r="AB4" s="27">
        <f>'品目リスト'!$B$31</f>
        <v/>
      </c>
      <c r="AC4" s="27">
        <f>'品目リスト'!$B$32</f>
        <v/>
      </c>
      <c r="AD4" s="27">
        <f>'品目リスト'!$B$33</f>
        <v/>
      </c>
      <c r="AE4" s="8" t="inlineStr">
        <is>
          <t>確認日</t>
        </is>
      </c>
      <c r="AF4" s="8" t="inlineStr">
        <is>
          <t>備考</t>
        </is>
      </c>
    </row>
    <row r="5" ht="140" customHeight="1">
      <c r="A5" s="8" t="inlineStr">
        <is>
          <t>メニュー</t>
        </is>
      </c>
      <c r="B5" s="29">
        <f>'品目リスト'!$C$5</f>
        <v/>
      </c>
      <c r="C5" s="29">
        <f>'品目リスト'!$C$6</f>
        <v/>
      </c>
      <c r="D5" s="29">
        <f>'品目リスト'!$C$7</f>
        <v/>
      </c>
      <c r="E5" s="29">
        <f>'品目リスト'!$C$8</f>
        <v/>
      </c>
      <c r="F5" s="29">
        <f>'品目リスト'!$C$9</f>
        <v/>
      </c>
      <c r="G5" s="29">
        <f>'品目リスト'!$C$10</f>
        <v/>
      </c>
      <c r="H5" s="29">
        <f>'品目リスト'!$C$11</f>
        <v/>
      </c>
      <c r="I5" s="29">
        <f>'品目リスト'!$C$12</f>
        <v/>
      </c>
      <c r="J5" s="30">
        <f>'品目リスト'!$C$13</f>
        <v/>
      </c>
      <c r="K5" s="29">
        <f>'品目リスト'!$C$14</f>
        <v/>
      </c>
      <c r="L5" s="29">
        <f>'品目リスト'!$C$15</f>
        <v/>
      </c>
      <c r="M5" s="29">
        <f>'品目リスト'!$C$16</f>
        <v/>
      </c>
      <c r="N5" s="29">
        <f>'品目リスト'!$C$17</f>
        <v/>
      </c>
      <c r="O5" s="29">
        <f>'品目リスト'!$C$18</f>
        <v/>
      </c>
      <c r="P5" s="29">
        <f>'品目リスト'!$C$19</f>
        <v/>
      </c>
      <c r="Q5" s="29">
        <f>'品目リスト'!$C$20</f>
        <v/>
      </c>
      <c r="R5" s="29">
        <f>'品目リスト'!$C$21</f>
        <v/>
      </c>
      <c r="S5" s="29">
        <f>'品目リスト'!$C$22</f>
        <v/>
      </c>
      <c r="T5" s="29">
        <f>'品目リスト'!$C$23</f>
        <v/>
      </c>
      <c r="U5" s="29">
        <f>'品目リスト'!$C$24</f>
        <v/>
      </c>
      <c r="V5" s="29">
        <f>'品目リスト'!$C$25</f>
        <v/>
      </c>
      <c r="W5" s="29">
        <f>'品目リスト'!$C$26</f>
        <v/>
      </c>
      <c r="X5" s="29">
        <f>'品目リスト'!$C$27</f>
        <v/>
      </c>
      <c r="Y5" s="29">
        <f>'品目リスト'!$C$28</f>
        <v/>
      </c>
      <c r="Z5" s="29">
        <f>'品目リスト'!$C$29</f>
        <v/>
      </c>
      <c r="AA5" s="29">
        <f>'品目リスト'!$C$30</f>
        <v/>
      </c>
      <c r="AB5" s="29">
        <f>'品目リスト'!$C$31</f>
        <v/>
      </c>
      <c r="AC5" s="29">
        <f>'品目リスト'!$C$32</f>
        <v/>
      </c>
      <c r="AD5" s="29">
        <f>'品目リスト'!$C$33</f>
        <v/>
      </c>
      <c r="AE5" s="18" t="n"/>
      <c r="AF5" s="18" t="n"/>
    </row>
    <row r="6" ht="28" customHeight="1">
      <c r="A6" s="22">
        <f>IF(ISBLANK('入力'!$B6),"",'入力'!$B6)</f>
        <v/>
      </c>
      <c r="B6" s="11">
        <f>IF($A6="","",IF('入力'!C6="○","○",IF('入力'!C6="－","－","？")))</f>
        <v/>
      </c>
      <c r="C6" s="11">
        <f>IF($A6="","",IF('入力'!D6="○","○",IF('入力'!D6="－","－","？")))</f>
        <v/>
      </c>
      <c r="D6" s="11">
        <f>IF($A6="","",IF('入力'!E6="○","○",IF('入力'!E6="－","－","？")))</f>
        <v/>
      </c>
      <c r="E6" s="11">
        <f>IF($A6="","",IF('入力'!F6="○","○",IF('入力'!F6="－","－","？")))</f>
        <v/>
      </c>
      <c r="F6" s="11">
        <f>IF($A6="","",IF('入力'!G6="○","○",IF('入力'!G6="－","－","？")))</f>
        <v/>
      </c>
      <c r="G6" s="11">
        <f>IF($A6="","",IF('入力'!H6="○","○",IF('入力'!H6="－","－","？")))</f>
        <v/>
      </c>
      <c r="H6" s="11">
        <f>IF($A6="","",IF('入力'!I6="○","○",IF('入力'!I6="－","－","？")))</f>
        <v/>
      </c>
      <c r="I6" s="11">
        <f>IF($A6="","",IF('入力'!J6="○","○",IF('入力'!J6="－","－","？")))</f>
        <v/>
      </c>
      <c r="J6" s="23">
        <f>IF($A6="","",IF('入力'!K6="○","○",IF('入力'!K6="－","－","？")))</f>
        <v/>
      </c>
      <c r="K6" s="11">
        <f>IF($A6="","",IF('入力'!L6="○","○",IF('入力'!L6="－","－","？")))</f>
        <v/>
      </c>
      <c r="L6" s="11">
        <f>IF($A6="","",IF('入力'!M6="○","○",IF('入力'!M6="－","－","？")))</f>
        <v/>
      </c>
      <c r="M6" s="11">
        <f>IF($A6="","",IF('入力'!N6="○","○",IF('入力'!N6="－","－","？")))</f>
        <v/>
      </c>
      <c r="N6" s="11">
        <f>IF($A6="","",IF('入力'!O6="○","○",IF('入力'!O6="－","－","？")))</f>
        <v/>
      </c>
      <c r="O6" s="11">
        <f>IF($A6="","",IF('入力'!P6="○","○",IF('入力'!P6="－","－","？")))</f>
        <v/>
      </c>
      <c r="P6" s="11">
        <f>IF($A6="","",IF('入力'!Q6="○","○",IF('入力'!Q6="－","－","？")))</f>
        <v/>
      </c>
      <c r="Q6" s="11">
        <f>IF($A6="","",IF('入力'!R6="○","○",IF('入力'!R6="－","－","？")))</f>
        <v/>
      </c>
      <c r="R6" s="11">
        <f>IF($A6="","",IF('入力'!S6="○","○",IF('入力'!S6="－","－","？")))</f>
        <v/>
      </c>
      <c r="S6" s="11">
        <f>IF($A6="","",IF('入力'!T6="○","○",IF('入力'!T6="－","－","？")))</f>
        <v/>
      </c>
      <c r="T6" s="11">
        <f>IF($A6="","",IF('入力'!U6="○","○",IF('入力'!U6="－","－","？")))</f>
        <v/>
      </c>
      <c r="U6" s="11">
        <f>IF($A6="","",IF('入力'!V6="○","○",IF('入力'!V6="－","－","？")))</f>
        <v/>
      </c>
      <c r="V6" s="11">
        <f>IF($A6="","",IF('入力'!W6="○","○",IF('入力'!W6="－","－","？")))</f>
        <v/>
      </c>
      <c r="W6" s="11">
        <f>IF($A6="","",IF('入力'!X6="○","○",IF('入力'!X6="－","－","？")))</f>
        <v/>
      </c>
      <c r="X6" s="11">
        <f>IF($A6="","",IF('入力'!Y6="○","○",IF('入力'!Y6="－","－","？")))</f>
        <v/>
      </c>
      <c r="Y6" s="11">
        <f>IF($A6="","",IF('入力'!Z6="○","○",IF('入力'!Z6="－","－","？")))</f>
        <v/>
      </c>
      <c r="Z6" s="11">
        <f>IF($A6="","",IF('入力'!AA6="○","○",IF('入力'!AA6="－","－","？")))</f>
        <v/>
      </c>
      <c r="AA6" s="11">
        <f>IF($A6="","",IF('入力'!AB6="○","○",IF('入力'!AB6="－","－","？")))</f>
        <v/>
      </c>
      <c r="AB6" s="11">
        <f>IF($A6="","",IF('入力'!AC6="○","○",IF('入力'!AC6="－","－","？")))</f>
        <v/>
      </c>
      <c r="AC6" s="11">
        <f>IF($A6="","",IF('入力'!AD6="○","○",IF('入力'!AD6="－","－","？")))</f>
        <v/>
      </c>
      <c r="AD6" s="11">
        <f>IF($A6="","",IF('入力'!AE6="○","○",IF('入力'!AE6="－","－","？")))</f>
        <v/>
      </c>
      <c r="AE6" s="31">
        <f>IF(OR($A6="",ISBLANK('入力'!AF6)),"",'入力'!AF6)</f>
        <v/>
      </c>
      <c r="AF6" s="22">
        <f>IF($A6="","",IF(OR('入力'!AI6="未確認あり",'入力'!AI6="入力値エラー"),"※未確認あり。","")&amp;'入力'!AH6)</f>
        <v/>
      </c>
    </row>
    <row r="7" ht="28" customHeight="1">
      <c r="A7" s="22">
        <f>IF(ISBLANK('入力'!$B7),"",'入力'!$B7)</f>
        <v/>
      </c>
      <c r="B7" s="11">
        <f>IF($A7="","",IF('入力'!C7="○","○",IF('入力'!C7="－","－","？")))</f>
        <v/>
      </c>
      <c r="C7" s="11">
        <f>IF($A7="","",IF('入力'!D7="○","○",IF('入力'!D7="－","－","？")))</f>
        <v/>
      </c>
      <c r="D7" s="11">
        <f>IF($A7="","",IF('入力'!E7="○","○",IF('入力'!E7="－","－","？")))</f>
        <v/>
      </c>
      <c r="E7" s="11">
        <f>IF($A7="","",IF('入力'!F7="○","○",IF('入力'!F7="－","－","？")))</f>
        <v/>
      </c>
      <c r="F7" s="11">
        <f>IF($A7="","",IF('入力'!G7="○","○",IF('入力'!G7="－","－","？")))</f>
        <v/>
      </c>
      <c r="G7" s="11">
        <f>IF($A7="","",IF('入力'!H7="○","○",IF('入力'!H7="－","－","？")))</f>
        <v/>
      </c>
      <c r="H7" s="11">
        <f>IF($A7="","",IF('入力'!I7="○","○",IF('入力'!I7="－","－","？")))</f>
        <v/>
      </c>
      <c r="I7" s="11">
        <f>IF($A7="","",IF('入力'!J7="○","○",IF('入力'!J7="－","－","？")))</f>
        <v/>
      </c>
      <c r="J7" s="23">
        <f>IF($A7="","",IF('入力'!K7="○","○",IF('入力'!K7="－","－","？")))</f>
        <v/>
      </c>
      <c r="K7" s="11">
        <f>IF($A7="","",IF('入力'!L7="○","○",IF('入力'!L7="－","－","？")))</f>
        <v/>
      </c>
      <c r="L7" s="11">
        <f>IF($A7="","",IF('入力'!M7="○","○",IF('入力'!M7="－","－","？")))</f>
        <v/>
      </c>
      <c r="M7" s="11">
        <f>IF($A7="","",IF('入力'!N7="○","○",IF('入力'!N7="－","－","？")))</f>
        <v/>
      </c>
      <c r="N7" s="11">
        <f>IF($A7="","",IF('入力'!O7="○","○",IF('入力'!O7="－","－","？")))</f>
        <v/>
      </c>
      <c r="O7" s="11">
        <f>IF($A7="","",IF('入力'!P7="○","○",IF('入力'!P7="－","－","？")))</f>
        <v/>
      </c>
      <c r="P7" s="11">
        <f>IF($A7="","",IF('入力'!Q7="○","○",IF('入力'!Q7="－","－","？")))</f>
        <v/>
      </c>
      <c r="Q7" s="11">
        <f>IF($A7="","",IF('入力'!R7="○","○",IF('入力'!R7="－","－","？")))</f>
        <v/>
      </c>
      <c r="R7" s="11">
        <f>IF($A7="","",IF('入力'!S7="○","○",IF('入力'!S7="－","－","？")))</f>
        <v/>
      </c>
      <c r="S7" s="11">
        <f>IF($A7="","",IF('入力'!T7="○","○",IF('入力'!T7="－","－","？")))</f>
        <v/>
      </c>
      <c r="T7" s="11">
        <f>IF($A7="","",IF('入力'!U7="○","○",IF('入力'!U7="－","－","？")))</f>
        <v/>
      </c>
      <c r="U7" s="11">
        <f>IF($A7="","",IF('入力'!V7="○","○",IF('入力'!V7="－","－","？")))</f>
        <v/>
      </c>
      <c r="V7" s="11">
        <f>IF($A7="","",IF('入力'!W7="○","○",IF('入力'!W7="－","－","？")))</f>
        <v/>
      </c>
      <c r="W7" s="11">
        <f>IF($A7="","",IF('入力'!X7="○","○",IF('入力'!X7="－","－","？")))</f>
        <v/>
      </c>
      <c r="X7" s="11">
        <f>IF($A7="","",IF('入力'!Y7="○","○",IF('入力'!Y7="－","－","？")))</f>
        <v/>
      </c>
      <c r="Y7" s="11">
        <f>IF($A7="","",IF('入力'!Z7="○","○",IF('入力'!Z7="－","－","？")))</f>
        <v/>
      </c>
      <c r="Z7" s="11">
        <f>IF($A7="","",IF('入力'!AA7="○","○",IF('入力'!AA7="－","－","？")))</f>
        <v/>
      </c>
      <c r="AA7" s="11">
        <f>IF($A7="","",IF('入力'!AB7="○","○",IF('入力'!AB7="－","－","？")))</f>
        <v/>
      </c>
      <c r="AB7" s="11">
        <f>IF($A7="","",IF('入力'!AC7="○","○",IF('入力'!AC7="－","－","？")))</f>
        <v/>
      </c>
      <c r="AC7" s="11">
        <f>IF($A7="","",IF('入力'!AD7="○","○",IF('入力'!AD7="－","－","？")))</f>
        <v/>
      </c>
      <c r="AD7" s="11">
        <f>IF($A7="","",IF('入力'!AE7="○","○",IF('入力'!AE7="－","－","？")))</f>
        <v/>
      </c>
      <c r="AE7" s="31">
        <f>IF(OR($A7="",ISBLANK('入力'!AF7)),"",'入力'!AF7)</f>
        <v/>
      </c>
      <c r="AF7" s="22">
        <f>IF($A7="","",IF(OR('入力'!AI7="未確認あり",'入力'!AI7="入力値エラー"),"※未確認あり。","")&amp;'入力'!AH7)</f>
        <v/>
      </c>
    </row>
    <row r="8" ht="28" customHeight="1">
      <c r="A8" s="22">
        <f>IF(ISBLANK('入力'!$B8),"",'入力'!$B8)</f>
        <v/>
      </c>
      <c r="B8" s="11">
        <f>IF($A8="","",IF('入力'!C8="○","○",IF('入力'!C8="－","－","？")))</f>
        <v/>
      </c>
      <c r="C8" s="11">
        <f>IF($A8="","",IF('入力'!D8="○","○",IF('入力'!D8="－","－","？")))</f>
        <v/>
      </c>
      <c r="D8" s="11">
        <f>IF($A8="","",IF('入力'!E8="○","○",IF('入力'!E8="－","－","？")))</f>
        <v/>
      </c>
      <c r="E8" s="11">
        <f>IF($A8="","",IF('入力'!F8="○","○",IF('入力'!F8="－","－","？")))</f>
        <v/>
      </c>
      <c r="F8" s="11">
        <f>IF($A8="","",IF('入力'!G8="○","○",IF('入力'!G8="－","－","？")))</f>
        <v/>
      </c>
      <c r="G8" s="11">
        <f>IF($A8="","",IF('入力'!H8="○","○",IF('入力'!H8="－","－","？")))</f>
        <v/>
      </c>
      <c r="H8" s="11">
        <f>IF($A8="","",IF('入力'!I8="○","○",IF('入力'!I8="－","－","？")))</f>
        <v/>
      </c>
      <c r="I8" s="11">
        <f>IF($A8="","",IF('入力'!J8="○","○",IF('入力'!J8="－","－","？")))</f>
        <v/>
      </c>
      <c r="J8" s="23">
        <f>IF($A8="","",IF('入力'!K8="○","○",IF('入力'!K8="－","－","？")))</f>
        <v/>
      </c>
      <c r="K8" s="11">
        <f>IF($A8="","",IF('入力'!L8="○","○",IF('入力'!L8="－","－","？")))</f>
        <v/>
      </c>
      <c r="L8" s="11">
        <f>IF($A8="","",IF('入力'!M8="○","○",IF('入力'!M8="－","－","？")))</f>
        <v/>
      </c>
      <c r="M8" s="11">
        <f>IF($A8="","",IF('入力'!N8="○","○",IF('入力'!N8="－","－","？")))</f>
        <v/>
      </c>
      <c r="N8" s="11">
        <f>IF($A8="","",IF('入力'!O8="○","○",IF('入力'!O8="－","－","？")))</f>
        <v/>
      </c>
      <c r="O8" s="11">
        <f>IF($A8="","",IF('入力'!P8="○","○",IF('入力'!P8="－","－","？")))</f>
        <v/>
      </c>
      <c r="P8" s="11">
        <f>IF($A8="","",IF('入力'!Q8="○","○",IF('入力'!Q8="－","－","？")))</f>
        <v/>
      </c>
      <c r="Q8" s="11">
        <f>IF($A8="","",IF('入力'!R8="○","○",IF('入力'!R8="－","－","？")))</f>
        <v/>
      </c>
      <c r="R8" s="11">
        <f>IF($A8="","",IF('入力'!S8="○","○",IF('入力'!S8="－","－","？")))</f>
        <v/>
      </c>
      <c r="S8" s="11">
        <f>IF($A8="","",IF('入力'!T8="○","○",IF('入力'!T8="－","－","？")))</f>
        <v/>
      </c>
      <c r="T8" s="11">
        <f>IF($A8="","",IF('入力'!U8="○","○",IF('入力'!U8="－","－","？")))</f>
        <v/>
      </c>
      <c r="U8" s="11">
        <f>IF($A8="","",IF('入力'!V8="○","○",IF('入力'!V8="－","－","？")))</f>
        <v/>
      </c>
      <c r="V8" s="11">
        <f>IF($A8="","",IF('入力'!W8="○","○",IF('入力'!W8="－","－","？")))</f>
        <v/>
      </c>
      <c r="W8" s="11">
        <f>IF($A8="","",IF('入力'!X8="○","○",IF('入力'!X8="－","－","？")))</f>
        <v/>
      </c>
      <c r="X8" s="11">
        <f>IF($A8="","",IF('入力'!Y8="○","○",IF('入力'!Y8="－","－","？")))</f>
        <v/>
      </c>
      <c r="Y8" s="11">
        <f>IF($A8="","",IF('入力'!Z8="○","○",IF('入力'!Z8="－","－","？")))</f>
        <v/>
      </c>
      <c r="Z8" s="11">
        <f>IF($A8="","",IF('入力'!AA8="○","○",IF('入力'!AA8="－","－","？")))</f>
        <v/>
      </c>
      <c r="AA8" s="11">
        <f>IF($A8="","",IF('入力'!AB8="○","○",IF('入力'!AB8="－","－","？")))</f>
        <v/>
      </c>
      <c r="AB8" s="11">
        <f>IF($A8="","",IF('入力'!AC8="○","○",IF('入力'!AC8="－","－","？")))</f>
        <v/>
      </c>
      <c r="AC8" s="11">
        <f>IF($A8="","",IF('入力'!AD8="○","○",IF('入力'!AD8="－","－","？")))</f>
        <v/>
      </c>
      <c r="AD8" s="11">
        <f>IF($A8="","",IF('入力'!AE8="○","○",IF('入力'!AE8="－","－","？")))</f>
        <v/>
      </c>
      <c r="AE8" s="31">
        <f>IF(OR($A8="",ISBLANK('入力'!AF8)),"",'入力'!AF8)</f>
        <v/>
      </c>
      <c r="AF8" s="22">
        <f>IF($A8="","",IF(OR('入力'!AI8="未確認あり",'入力'!AI8="入力値エラー"),"※未確認あり。","")&amp;'入力'!AH8)</f>
        <v/>
      </c>
    </row>
    <row r="9" ht="28" customHeight="1">
      <c r="A9" s="22">
        <f>IF(ISBLANK('入力'!$B9),"",'入力'!$B9)</f>
        <v/>
      </c>
      <c r="B9" s="11">
        <f>IF($A9="","",IF('入力'!C9="○","○",IF('入力'!C9="－","－","？")))</f>
        <v/>
      </c>
      <c r="C9" s="11">
        <f>IF($A9="","",IF('入力'!D9="○","○",IF('入力'!D9="－","－","？")))</f>
        <v/>
      </c>
      <c r="D9" s="11">
        <f>IF($A9="","",IF('入力'!E9="○","○",IF('入力'!E9="－","－","？")))</f>
        <v/>
      </c>
      <c r="E9" s="11">
        <f>IF($A9="","",IF('入力'!F9="○","○",IF('入力'!F9="－","－","？")))</f>
        <v/>
      </c>
      <c r="F9" s="11">
        <f>IF($A9="","",IF('入力'!G9="○","○",IF('入力'!G9="－","－","？")))</f>
        <v/>
      </c>
      <c r="G9" s="11">
        <f>IF($A9="","",IF('入力'!H9="○","○",IF('入力'!H9="－","－","？")))</f>
        <v/>
      </c>
      <c r="H9" s="11">
        <f>IF($A9="","",IF('入力'!I9="○","○",IF('入力'!I9="－","－","？")))</f>
        <v/>
      </c>
      <c r="I9" s="11">
        <f>IF($A9="","",IF('入力'!J9="○","○",IF('入力'!J9="－","－","？")))</f>
        <v/>
      </c>
      <c r="J9" s="23">
        <f>IF($A9="","",IF('入力'!K9="○","○",IF('入力'!K9="－","－","？")))</f>
        <v/>
      </c>
      <c r="K9" s="11">
        <f>IF($A9="","",IF('入力'!L9="○","○",IF('入力'!L9="－","－","？")))</f>
        <v/>
      </c>
      <c r="L9" s="11">
        <f>IF($A9="","",IF('入力'!M9="○","○",IF('入力'!M9="－","－","？")))</f>
        <v/>
      </c>
      <c r="M9" s="11">
        <f>IF($A9="","",IF('入力'!N9="○","○",IF('入力'!N9="－","－","？")))</f>
        <v/>
      </c>
      <c r="N9" s="11">
        <f>IF($A9="","",IF('入力'!O9="○","○",IF('入力'!O9="－","－","？")))</f>
        <v/>
      </c>
      <c r="O9" s="11">
        <f>IF($A9="","",IF('入力'!P9="○","○",IF('入力'!P9="－","－","？")))</f>
        <v/>
      </c>
      <c r="P9" s="11">
        <f>IF($A9="","",IF('入力'!Q9="○","○",IF('入力'!Q9="－","－","？")))</f>
        <v/>
      </c>
      <c r="Q9" s="11">
        <f>IF($A9="","",IF('入力'!R9="○","○",IF('入力'!R9="－","－","？")))</f>
        <v/>
      </c>
      <c r="R9" s="11">
        <f>IF($A9="","",IF('入力'!S9="○","○",IF('入力'!S9="－","－","？")))</f>
        <v/>
      </c>
      <c r="S9" s="11">
        <f>IF($A9="","",IF('入力'!T9="○","○",IF('入力'!T9="－","－","？")))</f>
        <v/>
      </c>
      <c r="T9" s="11">
        <f>IF($A9="","",IF('入力'!U9="○","○",IF('入力'!U9="－","－","？")))</f>
        <v/>
      </c>
      <c r="U9" s="11">
        <f>IF($A9="","",IF('入力'!V9="○","○",IF('入力'!V9="－","－","？")))</f>
        <v/>
      </c>
      <c r="V9" s="11">
        <f>IF($A9="","",IF('入力'!W9="○","○",IF('入力'!W9="－","－","？")))</f>
        <v/>
      </c>
      <c r="W9" s="11">
        <f>IF($A9="","",IF('入力'!X9="○","○",IF('入力'!X9="－","－","？")))</f>
        <v/>
      </c>
      <c r="X9" s="11">
        <f>IF($A9="","",IF('入力'!Y9="○","○",IF('入力'!Y9="－","－","？")))</f>
        <v/>
      </c>
      <c r="Y9" s="11">
        <f>IF($A9="","",IF('入力'!Z9="○","○",IF('入力'!Z9="－","－","？")))</f>
        <v/>
      </c>
      <c r="Z9" s="11">
        <f>IF($A9="","",IF('入力'!AA9="○","○",IF('入力'!AA9="－","－","？")))</f>
        <v/>
      </c>
      <c r="AA9" s="11">
        <f>IF($A9="","",IF('入力'!AB9="○","○",IF('入力'!AB9="－","－","？")))</f>
        <v/>
      </c>
      <c r="AB9" s="11">
        <f>IF($A9="","",IF('入力'!AC9="○","○",IF('入力'!AC9="－","－","？")))</f>
        <v/>
      </c>
      <c r="AC9" s="11">
        <f>IF($A9="","",IF('入力'!AD9="○","○",IF('入力'!AD9="－","－","？")))</f>
        <v/>
      </c>
      <c r="AD9" s="11">
        <f>IF($A9="","",IF('入力'!AE9="○","○",IF('入力'!AE9="－","－","？")))</f>
        <v/>
      </c>
      <c r="AE9" s="31">
        <f>IF(OR($A9="",ISBLANK('入力'!AF9)),"",'入力'!AF9)</f>
        <v/>
      </c>
      <c r="AF9" s="22">
        <f>IF($A9="","",IF(OR('入力'!AI9="未確認あり",'入力'!AI9="入力値エラー"),"※未確認あり。","")&amp;'入力'!AH9)</f>
        <v/>
      </c>
    </row>
    <row r="10" ht="28" customHeight="1">
      <c r="A10" s="22">
        <f>IF(ISBLANK('入力'!$B10),"",'入力'!$B10)</f>
        <v/>
      </c>
      <c r="B10" s="11">
        <f>IF($A10="","",IF('入力'!C10="○","○",IF('入力'!C10="－","－","？")))</f>
        <v/>
      </c>
      <c r="C10" s="11">
        <f>IF($A10="","",IF('入力'!D10="○","○",IF('入力'!D10="－","－","？")))</f>
        <v/>
      </c>
      <c r="D10" s="11">
        <f>IF($A10="","",IF('入力'!E10="○","○",IF('入力'!E10="－","－","？")))</f>
        <v/>
      </c>
      <c r="E10" s="11">
        <f>IF($A10="","",IF('入力'!F10="○","○",IF('入力'!F10="－","－","？")))</f>
        <v/>
      </c>
      <c r="F10" s="11">
        <f>IF($A10="","",IF('入力'!G10="○","○",IF('入力'!G10="－","－","？")))</f>
        <v/>
      </c>
      <c r="G10" s="11">
        <f>IF($A10="","",IF('入力'!H10="○","○",IF('入力'!H10="－","－","？")))</f>
        <v/>
      </c>
      <c r="H10" s="11">
        <f>IF($A10="","",IF('入力'!I10="○","○",IF('入力'!I10="－","－","？")))</f>
        <v/>
      </c>
      <c r="I10" s="11">
        <f>IF($A10="","",IF('入力'!J10="○","○",IF('入力'!J10="－","－","？")))</f>
        <v/>
      </c>
      <c r="J10" s="23">
        <f>IF($A10="","",IF('入力'!K10="○","○",IF('入力'!K10="－","－","？")))</f>
        <v/>
      </c>
      <c r="K10" s="11">
        <f>IF($A10="","",IF('入力'!L10="○","○",IF('入力'!L10="－","－","？")))</f>
        <v/>
      </c>
      <c r="L10" s="11">
        <f>IF($A10="","",IF('入力'!M10="○","○",IF('入力'!M10="－","－","？")))</f>
        <v/>
      </c>
      <c r="M10" s="11">
        <f>IF($A10="","",IF('入力'!N10="○","○",IF('入力'!N10="－","－","？")))</f>
        <v/>
      </c>
      <c r="N10" s="11">
        <f>IF($A10="","",IF('入力'!O10="○","○",IF('入力'!O10="－","－","？")))</f>
        <v/>
      </c>
      <c r="O10" s="11">
        <f>IF($A10="","",IF('入力'!P10="○","○",IF('入力'!P10="－","－","？")))</f>
        <v/>
      </c>
      <c r="P10" s="11">
        <f>IF($A10="","",IF('入力'!Q10="○","○",IF('入力'!Q10="－","－","？")))</f>
        <v/>
      </c>
      <c r="Q10" s="11">
        <f>IF($A10="","",IF('入力'!R10="○","○",IF('入力'!R10="－","－","？")))</f>
        <v/>
      </c>
      <c r="R10" s="11">
        <f>IF($A10="","",IF('入力'!S10="○","○",IF('入力'!S10="－","－","？")))</f>
        <v/>
      </c>
      <c r="S10" s="11">
        <f>IF($A10="","",IF('入力'!T10="○","○",IF('入力'!T10="－","－","？")))</f>
        <v/>
      </c>
      <c r="T10" s="11">
        <f>IF($A10="","",IF('入力'!U10="○","○",IF('入力'!U10="－","－","？")))</f>
        <v/>
      </c>
      <c r="U10" s="11">
        <f>IF($A10="","",IF('入力'!V10="○","○",IF('入力'!V10="－","－","？")))</f>
        <v/>
      </c>
      <c r="V10" s="11">
        <f>IF($A10="","",IF('入力'!W10="○","○",IF('入力'!W10="－","－","？")))</f>
        <v/>
      </c>
      <c r="W10" s="11">
        <f>IF($A10="","",IF('入力'!X10="○","○",IF('入力'!X10="－","－","？")))</f>
        <v/>
      </c>
      <c r="X10" s="11">
        <f>IF($A10="","",IF('入力'!Y10="○","○",IF('入力'!Y10="－","－","？")))</f>
        <v/>
      </c>
      <c r="Y10" s="11">
        <f>IF($A10="","",IF('入力'!Z10="○","○",IF('入力'!Z10="－","－","？")))</f>
        <v/>
      </c>
      <c r="Z10" s="11">
        <f>IF($A10="","",IF('入力'!AA10="○","○",IF('入力'!AA10="－","－","？")))</f>
        <v/>
      </c>
      <c r="AA10" s="11">
        <f>IF($A10="","",IF('入力'!AB10="○","○",IF('入力'!AB10="－","－","？")))</f>
        <v/>
      </c>
      <c r="AB10" s="11">
        <f>IF($A10="","",IF('入力'!AC10="○","○",IF('入力'!AC10="－","－","？")))</f>
        <v/>
      </c>
      <c r="AC10" s="11">
        <f>IF($A10="","",IF('入力'!AD10="○","○",IF('入力'!AD10="－","－","？")))</f>
        <v/>
      </c>
      <c r="AD10" s="11">
        <f>IF($A10="","",IF('入力'!AE10="○","○",IF('入力'!AE10="－","－","？")))</f>
        <v/>
      </c>
      <c r="AE10" s="31">
        <f>IF(OR($A10="",ISBLANK('入力'!AF10)),"",'入力'!AF10)</f>
        <v/>
      </c>
      <c r="AF10" s="22">
        <f>IF($A10="","",IF(OR('入力'!AI10="未確認あり",'入力'!AI10="入力値エラー"),"※未確認あり。","")&amp;'入力'!AH10)</f>
        <v/>
      </c>
    </row>
    <row r="11" ht="28" customHeight="1">
      <c r="A11" s="22">
        <f>IF(ISBLANK('入力'!$B11),"",'入力'!$B11)</f>
        <v/>
      </c>
      <c r="B11" s="11">
        <f>IF($A11="","",IF('入力'!C11="○","○",IF('入力'!C11="－","－","？")))</f>
        <v/>
      </c>
      <c r="C11" s="11">
        <f>IF($A11="","",IF('入力'!D11="○","○",IF('入力'!D11="－","－","？")))</f>
        <v/>
      </c>
      <c r="D11" s="11">
        <f>IF($A11="","",IF('入力'!E11="○","○",IF('入力'!E11="－","－","？")))</f>
        <v/>
      </c>
      <c r="E11" s="11">
        <f>IF($A11="","",IF('入力'!F11="○","○",IF('入力'!F11="－","－","？")))</f>
        <v/>
      </c>
      <c r="F11" s="11">
        <f>IF($A11="","",IF('入力'!G11="○","○",IF('入力'!G11="－","－","？")))</f>
        <v/>
      </c>
      <c r="G11" s="11">
        <f>IF($A11="","",IF('入力'!H11="○","○",IF('入力'!H11="－","－","？")))</f>
        <v/>
      </c>
      <c r="H11" s="11">
        <f>IF($A11="","",IF('入力'!I11="○","○",IF('入力'!I11="－","－","？")))</f>
        <v/>
      </c>
      <c r="I11" s="11">
        <f>IF($A11="","",IF('入力'!J11="○","○",IF('入力'!J11="－","－","？")))</f>
        <v/>
      </c>
      <c r="J11" s="23">
        <f>IF($A11="","",IF('入力'!K11="○","○",IF('入力'!K11="－","－","？")))</f>
        <v/>
      </c>
      <c r="K11" s="11">
        <f>IF($A11="","",IF('入力'!L11="○","○",IF('入力'!L11="－","－","？")))</f>
        <v/>
      </c>
      <c r="L11" s="11">
        <f>IF($A11="","",IF('入力'!M11="○","○",IF('入力'!M11="－","－","？")))</f>
        <v/>
      </c>
      <c r="M11" s="11">
        <f>IF($A11="","",IF('入力'!N11="○","○",IF('入力'!N11="－","－","？")))</f>
        <v/>
      </c>
      <c r="N11" s="11">
        <f>IF($A11="","",IF('入力'!O11="○","○",IF('入力'!O11="－","－","？")))</f>
        <v/>
      </c>
      <c r="O11" s="11">
        <f>IF($A11="","",IF('入力'!P11="○","○",IF('入力'!P11="－","－","？")))</f>
        <v/>
      </c>
      <c r="P11" s="11">
        <f>IF($A11="","",IF('入力'!Q11="○","○",IF('入力'!Q11="－","－","？")))</f>
        <v/>
      </c>
      <c r="Q11" s="11">
        <f>IF($A11="","",IF('入力'!R11="○","○",IF('入力'!R11="－","－","？")))</f>
        <v/>
      </c>
      <c r="R11" s="11">
        <f>IF($A11="","",IF('入力'!S11="○","○",IF('入力'!S11="－","－","？")))</f>
        <v/>
      </c>
      <c r="S11" s="11">
        <f>IF($A11="","",IF('入力'!T11="○","○",IF('入力'!T11="－","－","？")))</f>
        <v/>
      </c>
      <c r="T11" s="11">
        <f>IF($A11="","",IF('入力'!U11="○","○",IF('入力'!U11="－","－","？")))</f>
        <v/>
      </c>
      <c r="U11" s="11">
        <f>IF($A11="","",IF('入力'!V11="○","○",IF('入力'!V11="－","－","？")))</f>
        <v/>
      </c>
      <c r="V11" s="11">
        <f>IF($A11="","",IF('入力'!W11="○","○",IF('入力'!W11="－","－","？")))</f>
        <v/>
      </c>
      <c r="W11" s="11">
        <f>IF($A11="","",IF('入力'!X11="○","○",IF('入力'!X11="－","－","？")))</f>
        <v/>
      </c>
      <c r="X11" s="11">
        <f>IF($A11="","",IF('入力'!Y11="○","○",IF('入力'!Y11="－","－","？")))</f>
        <v/>
      </c>
      <c r="Y11" s="11">
        <f>IF($A11="","",IF('入力'!Z11="○","○",IF('入力'!Z11="－","－","？")))</f>
        <v/>
      </c>
      <c r="Z11" s="11">
        <f>IF($A11="","",IF('入力'!AA11="○","○",IF('入力'!AA11="－","－","？")))</f>
        <v/>
      </c>
      <c r="AA11" s="11">
        <f>IF($A11="","",IF('入力'!AB11="○","○",IF('入力'!AB11="－","－","？")))</f>
        <v/>
      </c>
      <c r="AB11" s="11">
        <f>IF($A11="","",IF('入力'!AC11="○","○",IF('入力'!AC11="－","－","？")))</f>
        <v/>
      </c>
      <c r="AC11" s="11">
        <f>IF($A11="","",IF('入力'!AD11="○","○",IF('入力'!AD11="－","－","？")))</f>
        <v/>
      </c>
      <c r="AD11" s="11">
        <f>IF($A11="","",IF('入力'!AE11="○","○",IF('入力'!AE11="－","－","？")))</f>
        <v/>
      </c>
      <c r="AE11" s="31">
        <f>IF(OR($A11="",ISBLANK('入力'!AF11)),"",'入力'!AF11)</f>
        <v/>
      </c>
      <c r="AF11" s="22">
        <f>IF($A11="","",IF(OR('入力'!AI11="未確認あり",'入力'!AI11="入力値エラー"),"※未確認あり。","")&amp;'入力'!AH11)</f>
        <v/>
      </c>
    </row>
    <row r="12" ht="28" customHeight="1">
      <c r="A12" s="22">
        <f>IF(ISBLANK('入力'!$B12),"",'入力'!$B12)</f>
        <v/>
      </c>
      <c r="B12" s="11">
        <f>IF($A12="","",IF('入力'!C12="○","○",IF('入力'!C12="－","－","？")))</f>
        <v/>
      </c>
      <c r="C12" s="11">
        <f>IF($A12="","",IF('入力'!D12="○","○",IF('入力'!D12="－","－","？")))</f>
        <v/>
      </c>
      <c r="D12" s="11">
        <f>IF($A12="","",IF('入力'!E12="○","○",IF('入力'!E12="－","－","？")))</f>
        <v/>
      </c>
      <c r="E12" s="11">
        <f>IF($A12="","",IF('入力'!F12="○","○",IF('入力'!F12="－","－","？")))</f>
        <v/>
      </c>
      <c r="F12" s="11">
        <f>IF($A12="","",IF('入力'!G12="○","○",IF('入力'!G12="－","－","？")))</f>
        <v/>
      </c>
      <c r="G12" s="11">
        <f>IF($A12="","",IF('入力'!H12="○","○",IF('入力'!H12="－","－","？")))</f>
        <v/>
      </c>
      <c r="H12" s="11">
        <f>IF($A12="","",IF('入力'!I12="○","○",IF('入力'!I12="－","－","？")))</f>
        <v/>
      </c>
      <c r="I12" s="11">
        <f>IF($A12="","",IF('入力'!J12="○","○",IF('入力'!J12="－","－","？")))</f>
        <v/>
      </c>
      <c r="J12" s="23">
        <f>IF($A12="","",IF('入力'!K12="○","○",IF('入力'!K12="－","－","？")))</f>
        <v/>
      </c>
      <c r="K12" s="11">
        <f>IF($A12="","",IF('入力'!L12="○","○",IF('入力'!L12="－","－","？")))</f>
        <v/>
      </c>
      <c r="L12" s="11">
        <f>IF($A12="","",IF('入力'!M12="○","○",IF('入力'!M12="－","－","？")))</f>
        <v/>
      </c>
      <c r="M12" s="11">
        <f>IF($A12="","",IF('入力'!N12="○","○",IF('入力'!N12="－","－","？")))</f>
        <v/>
      </c>
      <c r="N12" s="11">
        <f>IF($A12="","",IF('入力'!O12="○","○",IF('入力'!O12="－","－","？")))</f>
        <v/>
      </c>
      <c r="O12" s="11">
        <f>IF($A12="","",IF('入力'!P12="○","○",IF('入力'!P12="－","－","？")))</f>
        <v/>
      </c>
      <c r="P12" s="11">
        <f>IF($A12="","",IF('入力'!Q12="○","○",IF('入力'!Q12="－","－","？")))</f>
        <v/>
      </c>
      <c r="Q12" s="11">
        <f>IF($A12="","",IF('入力'!R12="○","○",IF('入力'!R12="－","－","？")))</f>
        <v/>
      </c>
      <c r="R12" s="11">
        <f>IF($A12="","",IF('入力'!S12="○","○",IF('入力'!S12="－","－","？")))</f>
        <v/>
      </c>
      <c r="S12" s="11">
        <f>IF($A12="","",IF('入力'!T12="○","○",IF('入力'!T12="－","－","？")))</f>
        <v/>
      </c>
      <c r="T12" s="11">
        <f>IF($A12="","",IF('入力'!U12="○","○",IF('入力'!U12="－","－","？")))</f>
        <v/>
      </c>
      <c r="U12" s="11">
        <f>IF($A12="","",IF('入力'!V12="○","○",IF('入力'!V12="－","－","？")))</f>
        <v/>
      </c>
      <c r="V12" s="11">
        <f>IF($A12="","",IF('入力'!W12="○","○",IF('入力'!W12="－","－","？")))</f>
        <v/>
      </c>
      <c r="W12" s="11">
        <f>IF($A12="","",IF('入力'!X12="○","○",IF('入力'!X12="－","－","？")))</f>
        <v/>
      </c>
      <c r="X12" s="11">
        <f>IF($A12="","",IF('入力'!Y12="○","○",IF('入力'!Y12="－","－","？")))</f>
        <v/>
      </c>
      <c r="Y12" s="11">
        <f>IF($A12="","",IF('入力'!Z12="○","○",IF('入力'!Z12="－","－","？")))</f>
        <v/>
      </c>
      <c r="Z12" s="11">
        <f>IF($A12="","",IF('入力'!AA12="○","○",IF('入力'!AA12="－","－","？")))</f>
        <v/>
      </c>
      <c r="AA12" s="11">
        <f>IF($A12="","",IF('入力'!AB12="○","○",IF('入力'!AB12="－","－","？")))</f>
        <v/>
      </c>
      <c r="AB12" s="11">
        <f>IF($A12="","",IF('入力'!AC12="○","○",IF('入力'!AC12="－","－","？")))</f>
        <v/>
      </c>
      <c r="AC12" s="11">
        <f>IF($A12="","",IF('入力'!AD12="○","○",IF('入力'!AD12="－","－","？")))</f>
        <v/>
      </c>
      <c r="AD12" s="11">
        <f>IF($A12="","",IF('入力'!AE12="○","○",IF('入力'!AE12="－","－","？")))</f>
        <v/>
      </c>
      <c r="AE12" s="31">
        <f>IF(OR($A12="",ISBLANK('入力'!AF12)),"",'入力'!AF12)</f>
        <v/>
      </c>
      <c r="AF12" s="22">
        <f>IF($A12="","",IF(OR('入力'!AI12="未確認あり",'入力'!AI12="入力値エラー"),"※未確認あり。","")&amp;'入力'!AH12)</f>
        <v/>
      </c>
    </row>
    <row r="13" ht="28" customHeight="1">
      <c r="A13" s="22">
        <f>IF(ISBLANK('入力'!$B13),"",'入力'!$B13)</f>
        <v/>
      </c>
      <c r="B13" s="11">
        <f>IF($A13="","",IF('入力'!C13="○","○",IF('入力'!C13="－","－","？")))</f>
        <v/>
      </c>
      <c r="C13" s="11">
        <f>IF($A13="","",IF('入力'!D13="○","○",IF('入力'!D13="－","－","？")))</f>
        <v/>
      </c>
      <c r="D13" s="11">
        <f>IF($A13="","",IF('入力'!E13="○","○",IF('入力'!E13="－","－","？")))</f>
        <v/>
      </c>
      <c r="E13" s="11">
        <f>IF($A13="","",IF('入力'!F13="○","○",IF('入力'!F13="－","－","？")))</f>
        <v/>
      </c>
      <c r="F13" s="11">
        <f>IF($A13="","",IF('入力'!G13="○","○",IF('入力'!G13="－","－","？")))</f>
        <v/>
      </c>
      <c r="G13" s="11">
        <f>IF($A13="","",IF('入力'!H13="○","○",IF('入力'!H13="－","－","？")))</f>
        <v/>
      </c>
      <c r="H13" s="11">
        <f>IF($A13="","",IF('入力'!I13="○","○",IF('入力'!I13="－","－","？")))</f>
        <v/>
      </c>
      <c r="I13" s="11">
        <f>IF($A13="","",IF('入力'!J13="○","○",IF('入力'!J13="－","－","？")))</f>
        <v/>
      </c>
      <c r="J13" s="23">
        <f>IF($A13="","",IF('入力'!K13="○","○",IF('入力'!K13="－","－","？")))</f>
        <v/>
      </c>
      <c r="K13" s="11">
        <f>IF($A13="","",IF('入力'!L13="○","○",IF('入力'!L13="－","－","？")))</f>
        <v/>
      </c>
      <c r="L13" s="11">
        <f>IF($A13="","",IF('入力'!M13="○","○",IF('入力'!M13="－","－","？")))</f>
        <v/>
      </c>
      <c r="M13" s="11">
        <f>IF($A13="","",IF('入力'!N13="○","○",IF('入力'!N13="－","－","？")))</f>
        <v/>
      </c>
      <c r="N13" s="11">
        <f>IF($A13="","",IF('入力'!O13="○","○",IF('入力'!O13="－","－","？")))</f>
        <v/>
      </c>
      <c r="O13" s="11">
        <f>IF($A13="","",IF('入力'!P13="○","○",IF('入力'!P13="－","－","？")))</f>
        <v/>
      </c>
      <c r="P13" s="11">
        <f>IF($A13="","",IF('入力'!Q13="○","○",IF('入力'!Q13="－","－","？")))</f>
        <v/>
      </c>
      <c r="Q13" s="11">
        <f>IF($A13="","",IF('入力'!R13="○","○",IF('入力'!R13="－","－","？")))</f>
        <v/>
      </c>
      <c r="R13" s="11">
        <f>IF($A13="","",IF('入力'!S13="○","○",IF('入力'!S13="－","－","？")))</f>
        <v/>
      </c>
      <c r="S13" s="11">
        <f>IF($A13="","",IF('入力'!T13="○","○",IF('入力'!T13="－","－","？")))</f>
        <v/>
      </c>
      <c r="T13" s="11">
        <f>IF($A13="","",IF('入力'!U13="○","○",IF('入力'!U13="－","－","？")))</f>
        <v/>
      </c>
      <c r="U13" s="11">
        <f>IF($A13="","",IF('入力'!V13="○","○",IF('入力'!V13="－","－","？")))</f>
        <v/>
      </c>
      <c r="V13" s="11">
        <f>IF($A13="","",IF('入力'!W13="○","○",IF('入力'!W13="－","－","？")))</f>
        <v/>
      </c>
      <c r="W13" s="11">
        <f>IF($A13="","",IF('入力'!X13="○","○",IF('入力'!X13="－","－","？")))</f>
        <v/>
      </c>
      <c r="X13" s="11">
        <f>IF($A13="","",IF('入力'!Y13="○","○",IF('入力'!Y13="－","－","？")))</f>
        <v/>
      </c>
      <c r="Y13" s="11">
        <f>IF($A13="","",IF('入力'!Z13="○","○",IF('入力'!Z13="－","－","？")))</f>
        <v/>
      </c>
      <c r="Z13" s="11">
        <f>IF($A13="","",IF('入力'!AA13="○","○",IF('入力'!AA13="－","－","？")))</f>
        <v/>
      </c>
      <c r="AA13" s="11">
        <f>IF($A13="","",IF('入力'!AB13="○","○",IF('入力'!AB13="－","－","？")))</f>
        <v/>
      </c>
      <c r="AB13" s="11">
        <f>IF($A13="","",IF('入力'!AC13="○","○",IF('入力'!AC13="－","－","？")))</f>
        <v/>
      </c>
      <c r="AC13" s="11">
        <f>IF($A13="","",IF('入力'!AD13="○","○",IF('入力'!AD13="－","－","？")))</f>
        <v/>
      </c>
      <c r="AD13" s="11">
        <f>IF($A13="","",IF('入力'!AE13="○","○",IF('入力'!AE13="－","－","？")))</f>
        <v/>
      </c>
      <c r="AE13" s="31">
        <f>IF(OR($A13="",ISBLANK('入力'!AF13)),"",'入力'!AF13)</f>
        <v/>
      </c>
      <c r="AF13" s="22">
        <f>IF($A13="","",IF(OR('入力'!AI13="未確認あり",'入力'!AI13="入力値エラー"),"※未確認あり。","")&amp;'入力'!AH13)</f>
        <v/>
      </c>
    </row>
    <row r="14" ht="28" customHeight="1">
      <c r="A14" s="22">
        <f>IF(ISBLANK('入力'!$B14),"",'入力'!$B14)</f>
        <v/>
      </c>
      <c r="B14" s="11">
        <f>IF($A14="","",IF('入力'!C14="○","○",IF('入力'!C14="－","－","？")))</f>
        <v/>
      </c>
      <c r="C14" s="11">
        <f>IF($A14="","",IF('入力'!D14="○","○",IF('入力'!D14="－","－","？")))</f>
        <v/>
      </c>
      <c r="D14" s="11">
        <f>IF($A14="","",IF('入力'!E14="○","○",IF('入力'!E14="－","－","？")))</f>
        <v/>
      </c>
      <c r="E14" s="11">
        <f>IF($A14="","",IF('入力'!F14="○","○",IF('入力'!F14="－","－","？")))</f>
        <v/>
      </c>
      <c r="F14" s="11">
        <f>IF($A14="","",IF('入力'!G14="○","○",IF('入力'!G14="－","－","？")))</f>
        <v/>
      </c>
      <c r="G14" s="11">
        <f>IF($A14="","",IF('入力'!H14="○","○",IF('入力'!H14="－","－","？")))</f>
        <v/>
      </c>
      <c r="H14" s="11">
        <f>IF($A14="","",IF('入力'!I14="○","○",IF('入力'!I14="－","－","？")))</f>
        <v/>
      </c>
      <c r="I14" s="11">
        <f>IF($A14="","",IF('入力'!J14="○","○",IF('入力'!J14="－","－","？")))</f>
        <v/>
      </c>
      <c r="J14" s="23">
        <f>IF($A14="","",IF('入力'!K14="○","○",IF('入力'!K14="－","－","？")))</f>
        <v/>
      </c>
      <c r="K14" s="11">
        <f>IF($A14="","",IF('入力'!L14="○","○",IF('入力'!L14="－","－","？")))</f>
        <v/>
      </c>
      <c r="L14" s="11">
        <f>IF($A14="","",IF('入力'!M14="○","○",IF('入力'!M14="－","－","？")))</f>
        <v/>
      </c>
      <c r="M14" s="11">
        <f>IF($A14="","",IF('入力'!N14="○","○",IF('入力'!N14="－","－","？")))</f>
        <v/>
      </c>
      <c r="N14" s="11">
        <f>IF($A14="","",IF('入力'!O14="○","○",IF('入力'!O14="－","－","？")))</f>
        <v/>
      </c>
      <c r="O14" s="11">
        <f>IF($A14="","",IF('入力'!P14="○","○",IF('入力'!P14="－","－","？")))</f>
        <v/>
      </c>
      <c r="P14" s="11">
        <f>IF($A14="","",IF('入力'!Q14="○","○",IF('入力'!Q14="－","－","？")))</f>
        <v/>
      </c>
      <c r="Q14" s="11">
        <f>IF($A14="","",IF('入力'!R14="○","○",IF('入力'!R14="－","－","？")))</f>
        <v/>
      </c>
      <c r="R14" s="11">
        <f>IF($A14="","",IF('入力'!S14="○","○",IF('入力'!S14="－","－","？")))</f>
        <v/>
      </c>
      <c r="S14" s="11">
        <f>IF($A14="","",IF('入力'!T14="○","○",IF('入力'!T14="－","－","？")))</f>
        <v/>
      </c>
      <c r="T14" s="11">
        <f>IF($A14="","",IF('入力'!U14="○","○",IF('入力'!U14="－","－","？")))</f>
        <v/>
      </c>
      <c r="U14" s="11">
        <f>IF($A14="","",IF('入力'!V14="○","○",IF('入力'!V14="－","－","？")))</f>
        <v/>
      </c>
      <c r="V14" s="11">
        <f>IF($A14="","",IF('入力'!W14="○","○",IF('入力'!W14="－","－","？")))</f>
        <v/>
      </c>
      <c r="W14" s="11">
        <f>IF($A14="","",IF('入力'!X14="○","○",IF('入力'!X14="－","－","？")))</f>
        <v/>
      </c>
      <c r="X14" s="11">
        <f>IF($A14="","",IF('入力'!Y14="○","○",IF('入力'!Y14="－","－","？")))</f>
        <v/>
      </c>
      <c r="Y14" s="11">
        <f>IF($A14="","",IF('入力'!Z14="○","○",IF('入力'!Z14="－","－","？")))</f>
        <v/>
      </c>
      <c r="Z14" s="11">
        <f>IF($A14="","",IF('入力'!AA14="○","○",IF('入力'!AA14="－","－","？")))</f>
        <v/>
      </c>
      <c r="AA14" s="11">
        <f>IF($A14="","",IF('入力'!AB14="○","○",IF('入力'!AB14="－","－","？")))</f>
        <v/>
      </c>
      <c r="AB14" s="11">
        <f>IF($A14="","",IF('入力'!AC14="○","○",IF('入力'!AC14="－","－","？")))</f>
        <v/>
      </c>
      <c r="AC14" s="11">
        <f>IF($A14="","",IF('入力'!AD14="○","○",IF('入力'!AD14="－","－","？")))</f>
        <v/>
      </c>
      <c r="AD14" s="11">
        <f>IF($A14="","",IF('入力'!AE14="○","○",IF('入力'!AE14="－","－","？")))</f>
        <v/>
      </c>
      <c r="AE14" s="31">
        <f>IF(OR($A14="",ISBLANK('入力'!AF14)),"",'入力'!AF14)</f>
        <v/>
      </c>
      <c r="AF14" s="22">
        <f>IF($A14="","",IF(OR('入力'!AI14="未確認あり",'入力'!AI14="入力値エラー"),"※未確認あり。","")&amp;'入力'!AH14)</f>
        <v/>
      </c>
    </row>
    <row r="15" ht="28" customHeight="1">
      <c r="A15" s="22">
        <f>IF(ISBLANK('入力'!$B15),"",'入力'!$B15)</f>
        <v/>
      </c>
      <c r="B15" s="11">
        <f>IF($A15="","",IF('入力'!C15="○","○",IF('入力'!C15="－","－","？")))</f>
        <v/>
      </c>
      <c r="C15" s="11">
        <f>IF($A15="","",IF('入力'!D15="○","○",IF('入力'!D15="－","－","？")))</f>
        <v/>
      </c>
      <c r="D15" s="11">
        <f>IF($A15="","",IF('入力'!E15="○","○",IF('入力'!E15="－","－","？")))</f>
        <v/>
      </c>
      <c r="E15" s="11">
        <f>IF($A15="","",IF('入力'!F15="○","○",IF('入力'!F15="－","－","？")))</f>
        <v/>
      </c>
      <c r="F15" s="11">
        <f>IF($A15="","",IF('入力'!G15="○","○",IF('入力'!G15="－","－","？")))</f>
        <v/>
      </c>
      <c r="G15" s="11">
        <f>IF($A15="","",IF('入力'!H15="○","○",IF('入力'!H15="－","－","？")))</f>
        <v/>
      </c>
      <c r="H15" s="11">
        <f>IF($A15="","",IF('入力'!I15="○","○",IF('入力'!I15="－","－","？")))</f>
        <v/>
      </c>
      <c r="I15" s="11">
        <f>IF($A15="","",IF('入力'!J15="○","○",IF('入力'!J15="－","－","？")))</f>
        <v/>
      </c>
      <c r="J15" s="23">
        <f>IF($A15="","",IF('入力'!K15="○","○",IF('入力'!K15="－","－","？")))</f>
        <v/>
      </c>
      <c r="K15" s="11">
        <f>IF($A15="","",IF('入力'!L15="○","○",IF('入力'!L15="－","－","？")))</f>
        <v/>
      </c>
      <c r="L15" s="11">
        <f>IF($A15="","",IF('入力'!M15="○","○",IF('入力'!M15="－","－","？")))</f>
        <v/>
      </c>
      <c r="M15" s="11">
        <f>IF($A15="","",IF('入力'!N15="○","○",IF('入力'!N15="－","－","？")))</f>
        <v/>
      </c>
      <c r="N15" s="11">
        <f>IF($A15="","",IF('入力'!O15="○","○",IF('入力'!O15="－","－","？")))</f>
        <v/>
      </c>
      <c r="O15" s="11">
        <f>IF($A15="","",IF('入力'!P15="○","○",IF('入力'!P15="－","－","？")))</f>
        <v/>
      </c>
      <c r="P15" s="11">
        <f>IF($A15="","",IF('入力'!Q15="○","○",IF('入力'!Q15="－","－","？")))</f>
        <v/>
      </c>
      <c r="Q15" s="11">
        <f>IF($A15="","",IF('入力'!R15="○","○",IF('入力'!R15="－","－","？")))</f>
        <v/>
      </c>
      <c r="R15" s="11">
        <f>IF($A15="","",IF('入力'!S15="○","○",IF('入力'!S15="－","－","？")))</f>
        <v/>
      </c>
      <c r="S15" s="11">
        <f>IF($A15="","",IF('入力'!T15="○","○",IF('入力'!T15="－","－","？")))</f>
        <v/>
      </c>
      <c r="T15" s="11">
        <f>IF($A15="","",IF('入力'!U15="○","○",IF('入力'!U15="－","－","？")))</f>
        <v/>
      </c>
      <c r="U15" s="11">
        <f>IF($A15="","",IF('入力'!V15="○","○",IF('入力'!V15="－","－","？")))</f>
        <v/>
      </c>
      <c r="V15" s="11">
        <f>IF($A15="","",IF('入力'!W15="○","○",IF('入力'!W15="－","－","？")))</f>
        <v/>
      </c>
      <c r="W15" s="11">
        <f>IF($A15="","",IF('入力'!X15="○","○",IF('入力'!X15="－","－","？")))</f>
        <v/>
      </c>
      <c r="X15" s="11">
        <f>IF($A15="","",IF('入力'!Y15="○","○",IF('入力'!Y15="－","－","？")))</f>
        <v/>
      </c>
      <c r="Y15" s="11">
        <f>IF($A15="","",IF('入力'!Z15="○","○",IF('入力'!Z15="－","－","？")))</f>
        <v/>
      </c>
      <c r="Z15" s="11">
        <f>IF($A15="","",IF('入力'!AA15="○","○",IF('入力'!AA15="－","－","？")))</f>
        <v/>
      </c>
      <c r="AA15" s="11">
        <f>IF($A15="","",IF('入力'!AB15="○","○",IF('入力'!AB15="－","－","？")))</f>
        <v/>
      </c>
      <c r="AB15" s="11">
        <f>IF($A15="","",IF('入力'!AC15="○","○",IF('入力'!AC15="－","－","？")))</f>
        <v/>
      </c>
      <c r="AC15" s="11">
        <f>IF($A15="","",IF('入力'!AD15="○","○",IF('入力'!AD15="－","－","？")))</f>
        <v/>
      </c>
      <c r="AD15" s="11">
        <f>IF($A15="","",IF('入力'!AE15="○","○",IF('入力'!AE15="－","－","？")))</f>
        <v/>
      </c>
      <c r="AE15" s="31">
        <f>IF(OR($A15="",ISBLANK('入力'!AF15)),"",'入力'!AF15)</f>
        <v/>
      </c>
      <c r="AF15" s="22">
        <f>IF($A15="","",IF(OR('入力'!AI15="未確認あり",'入力'!AI15="入力値エラー"),"※未確認あり。","")&amp;'入力'!AH15)</f>
        <v/>
      </c>
    </row>
    <row r="16" ht="28" customHeight="1">
      <c r="A16" s="22">
        <f>IF(ISBLANK('入力'!$B16),"",'入力'!$B16)</f>
        <v/>
      </c>
      <c r="B16" s="11">
        <f>IF($A16="","",IF('入力'!C16="○","○",IF('入力'!C16="－","－","？")))</f>
        <v/>
      </c>
      <c r="C16" s="11">
        <f>IF($A16="","",IF('入力'!D16="○","○",IF('入力'!D16="－","－","？")))</f>
        <v/>
      </c>
      <c r="D16" s="11">
        <f>IF($A16="","",IF('入力'!E16="○","○",IF('入力'!E16="－","－","？")))</f>
        <v/>
      </c>
      <c r="E16" s="11">
        <f>IF($A16="","",IF('入力'!F16="○","○",IF('入力'!F16="－","－","？")))</f>
        <v/>
      </c>
      <c r="F16" s="11">
        <f>IF($A16="","",IF('入力'!G16="○","○",IF('入力'!G16="－","－","？")))</f>
        <v/>
      </c>
      <c r="G16" s="11">
        <f>IF($A16="","",IF('入力'!H16="○","○",IF('入力'!H16="－","－","？")))</f>
        <v/>
      </c>
      <c r="H16" s="11">
        <f>IF($A16="","",IF('入力'!I16="○","○",IF('入力'!I16="－","－","？")))</f>
        <v/>
      </c>
      <c r="I16" s="11">
        <f>IF($A16="","",IF('入力'!J16="○","○",IF('入力'!J16="－","－","？")))</f>
        <v/>
      </c>
      <c r="J16" s="23">
        <f>IF($A16="","",IF('入力'!K16="○","○",IF('入力'!K16="－","－","？")))</f>
        <v/>
      </c>
      <c r="K16" s="11">
        <f>IF($A16="","",IF('入力'!L16="○","○",IF('入力'!L16="－","－","？")))</f>
        <v/>
      </c>
      <c r="L16" s="11">
        <f>IF($A16="","",IF('入力'!M16="○","○",IF('入力'!M16="－","－","？")))</f>
        <v/>
      </c>
      <c r="M16" s="11">
        <f>IF($A16="","",IF('入力'!N16="○","○",IF('入力'!N16="－","－","？")))</f>
        <v/>
      </c>
      <c r="N16" s="11">
        <f>IF($A16="","",IF('入力'!O16="○","○",IF('入力'!O16="－","－","？")))</f>
        <v/>
      </c>
      <c r="O16" s="11">
        <f>IF($A16="","",IF('入力'!P16="○","○",IF('入力'!P16="－","－","？")))</f>
        <v/>
      </c>
      <c r="P16" s="11">
        <f>IF($A16="","",IF('入力'!Q16="○","○",IF('入力'!Q16="－","－","？")))</f>
        <v/>
      </c>
      <c r="Q16" s="11">
        <f>IF($A16="","",IF('入力'!R16="○","○",IF('入力'!R16="－","－","？")))</f>
        <v/>
      </c>
      <c r="R16" s="11">
        <f>IF($A16="","",IF('入力'!S16="○","○",IF('入力'!S16="－","－","？")))</f>
        <v/>
      </c>
      <c r="S16" s="11">
        <f>IF($A16="","",IF('入力'!T16="○","○",IF('入力'!T16="－","－","？")))</f>
        <v/>
      </c>
      <c r="T16" s="11">
        <f>IF($A16="","",IF('入力'!U16="○","○",IF('入力'!U16="－","－","？")))</f>
        <v/>
      </c>
      <c r="U16" s="11">
        <f>IF($A16="","",IF('入力'!V16="○","○",IF('入力'!V16="－","－","？")))</f>
        <v/>
      </c>
      <c r="V16" s="11">
        <f>IF($A16="","",IF('入力'!W16="○","○",IF('入力'!W16="－","－","？")))</f>
        <v/>
      </c>
      <c r="W16" s="11">
        <f>IF($A16="","",IF('入力'!X16="○","○",IF('入力'!X16="－","－","？")))</f>
        <v/>
      </c>
      <c r="X16" s="11">
        <f>IF($A16="","",IF('入力'!Y16="○","○",IF('入力'!Y16="－","－","？")))</f>
        <v/>
      </c>
      <c r="Y16" s="11">
        <f>IF($A16="","",IF('入力'!Z16="○","○",IF('入力'!Z16="－","－","？")))</f>
        <v/>
      </c>
      <c r="Z16" s="11">
        <f>IF($A16="","",IF('入力'!AA16="○","○",IF('入力'!AA16="－","－","？")))</f>
        <v/>
      </c>
      <c r="AA16" s="11">
        <f>IF($A16="","",IF('入力'!AB16="○","○",IF('入力'!AB16="－","－","？")))</f>
        <v/>
      </c>
      <c r="AB16" s="11">
        <f>IF($A16="","",IF('入力'!AC16="○","○",IF('入力'!AC16="－","－","？")))</f>
        <v/>
      </c>
      <c r="AC16" s="11">
        <f>IF($A16="","",IF('入力'!AD16="○","○",IF('入力'!AD16="－","－","？")))</f>
        <v/>
      </c>
      <c r="AD16" s="11">
        <f>IF($A16="","",IF('入力'!AE16="○","○",IF('入力'!AE16="－","－","？")))</f>
        <v/>
      </c>
      <c r="AE16" s="31">
        <f>IF(OR($A16="",ISBLANK('入力'!AF16)),"",'入力'!AF16)</f>
        <v/>
      </c>
      <c r="AF16" s="22">
        <f>IF($A16="","",IF(OR('入力'!AI16="未確認あり",'入力'!AI16="入力値エラー"),"※未確認あり。","")&amp;'入力'!AH16)</f>
        <v/>
      </c>
    </row>
    <row r="17" ht="28" customHeight="1">
      <c r="A17" s="22">
        <f>IF(ISBLANK('入力'!$B17),"",'入力'!$B17)</f>
        <v/>
      </c>
      <c r="B17" s="11">
        <f>IF($A17="","",IF('入力'!C17="○","○",IF('入力'!C17="－","－","？")))</f>
        <v/>
      </c>
      <c r="C17" s="11">
        <f>IF($A17="","",IF('入力'!D17="○","○",IF('入力'!D17="－","－","？")))</f>
        <v/>
      </c>
      <c r="D17" s="11">
        <f>IF($A17="","",IF('入力'!E17="○","○",IF('入力'!E17="－","－","？")))</f>
        <v/>
      </c>
      <c r="E17" s="11">
        <f>IF($A17="","",IF('入力'!F17="○","○",IF('入力'!F17="－","－","？")))</f>
        <v/>
      </c>
      <c r="F17" s="11">
        <f>IF($A17="","",IF('入力'!G17="○","○",IF('入力'!G17="－","－","？")))</f>
        <v/>
      </c>
      <c r="G17" s="11">
        <f>IF($A17="","",IF('入力'!H17="○","○",IF('入力'!H17="－","－","？")))</f>
        <v/>
      </c>
      <c r="H17" s="11">
        <f>IF($A17="","",IF('入力'!I17="○","○",IF('入力'!I17="－","－","？")))</f>
        <v/>
      </c>
      <c r="I17" s="11">
        <f>IF($A17="","",IF('入力'!J17="○","○",IF('入力'!J17="－","－","？")))</f>
        <v/>
      </c>
      <c r="J17" s="23">
        <f>IF($A17="","",IF('入力'!K17="○","○",IF('入力'!K17="－","－","？")))</f>
        <v/>
      </c>
      <c r="K17" s="11">
        <f>IF($A17="","",IF('入力'!L17="○","○",IF('入力'!L17="－","－","？")))</f>
        <v/>
      </c>
      <c r="L17" s="11">
        <f>IF($A17="","",IF('入力'!M17="○","○",IF('入力'!M17="－","－","？")))</f>
        <v/>
      </c>
      <c r="M17" s="11">
        <f>IF($A17="","",IF('入力'!N17="○","○",IF('入力'!N17="－","－","？")))</f>
        <v/>
      </c>
      <c r="N17" s="11">
        <f>IF($A17="","",IF('入力'!O17="○","○",IF('入力'!O17="－","－","？")))</f>
        <v/>
      </c>
      <c r="O17" s="11">
        <f>IF($A17="","",IF('入力'!P17="○","○",IF('入力'!P17="－","－","？")))</f>
        <v/>
      </c>
      <c r="P17" s="11">
        <f>IF($A17="","",IF('入力'!Q17="○","○",IF('入力'!Q17="－","－","？")))</f>
        <v/>
      </c>
      <c r="Q17" s="11">
        <f>IF($A17="","",IF('入力'!R17="○","○",IF('入力'!R17="－","－","？")))</f>
        <v/>
      </c>
      <c r="R17" s="11">
        <f>IF($A17="","",IF('入力'!S17="○","○",IF('入力'!S17="－","－","？")))</f>
        <v/>
      </c>
      <c r="S17" s="11">
        <f>IF($A17="","",IF('入力'!T17="○","○",IF('入力'!T17="－","－","？")))</f>
        <v/>
      </c>
      <c r="T17" s="11">
        <f>IF($A17="","",IF('入力'!U17="○","○",IF('入力'!U17="－","－","？")))</f>
        <v/>
      </c>
      <c r="U17" s="11">
        <f>IF($A17="","",IF('入力'!V17="○","○",IF('入力'!V17="－","－","？")))</f>
        <v/>
      </c>
      <c r="V17" s="11">
        <f>IF($A17="","",IF('入力'!W17="○","○",IF('入力'!W17="－","－","？")))</f>
        <v/>
      </c>
      <c r="W17" s="11">
        <f>IF($A17="","",IF('入力'!X17="○","○",IF('入力'!X17="－","－","？")))</f>
        <v/>
      </c>
      <c r="X17" s="11">
        <f>IF($A17="","",IF('入力'!Y17="○","○",IF('入力'!Y17="－","－","？")))</f>
        <v/>
      </c>
      <c r="Y17" s="11">
        <f>IF($A17="","",IF('入力'!Z17="○","○",IF('入力'!Z17="－","－","？")))</f>
        <v/>
      </c>
      <c r="Z17" s="11">
        <f>IF($A17="","",IF('入力'!AA17="○","○",IF('入力'!AA17="－","－","？")))</f>
        <v/>
      </c>
      <c r="AA17" s="11">
        <f>IF($A17="","",IF('入力'!AB17="○","○",IF('入力'!AB17="－","－","？")))</f>
        <v/>
      </c>
      <c r="AB17" s="11">
        <f>IF($A17="","",IF('入力'!AC17="○","○",IF('入力'!AC17="－","－","？")))</f>
        <v/>
      </c>
      <c r="AC17" s="11">
        <f>IF($A17="","",IF('入力'!AD17="○","○",IF('入力'!AD17="－","－","？")))</f>
        <v/>
      </c>
      <c r="AD17" s="11">
        <f>IF($A17="","",IF('入力'!AE17="○","○",IF('入力'!AE17="－","－","？")))</f>
        <v/>
      </c>
      <c r="AE17" s="31">
        <f>IF(OR($A17="",ISBLANK('入力'!AF17)),"",'入力'!AF17)</f>
        <v/>
      </c>
      <c r="AF17" s="22">
        <f>IF($A17="","",IF(OR('入力'!AI17="未確認あり",'入力'!AI17="入力値エラー"),"※未確認あり。","")&amp;'入力'!AH17)</f>
        <v/>
      </c>
    </row>
    <row r="18" ht="28" customHeight="1">
      <c r="A18" s="22">
        <f>IF(ISBLANK('入力'!$B18),"",'入力'!$B18)</f>
        <v/>
      </c>
      <c r="B18" s="11">
        <f>IF($A18="","",IF('入力'!C18="○","○",IF('入力'!C18="－","－","？")))</f>
        <v/>
      </c>
      <c r="C18" s="11">
        <f>IF($A18="","",IF('入力'!D18="○","○",IF('入力'!D18="－","－","？")))</f>
        <v/>
      </c>
      <c r="D18" s="11">
        <f>IF($A18="","",IF('入力'!E18="○","○",IF('入力'!E18="－","－","？")))</f>
        <v/>
      </c>
      <c r="E18" s="11">
        <f>IF($A18="","",IF('入力'!F18="○","○",IF('入力'!F18="－","－","？")))</f>
        <v/>
      </c>
      <c r="F18" s="11">
        <f>IF($A18="","",IF('入力'!G18="○","○",IF('入力'!G18="－","－","？")))</f>
        <v/>
      </c>
      <c r="G18" s="11">
        <f>IF($A18="","",IF('入力'!H18="○","○",IF('入力'!H18="－","－","？")))</f>
        <v/>
      </c>
      <c r="H18" s="11">
        <f>IF($A18="","",IF('入力'!I18="○","○",IF('入力'!I18="－","－","？")))</f>
        <v/>
      </c>
      <c r="I18" s="11">
        <f>IF($A18="","",IF('入力'!J18="○","○",IF('入力'!J18="－","－","？")))</f>
        <v/>
      </c>
      <c r="J18" s="23">
        <f>IF($A18="","",IF('入力'!K18="○","○",IF('入力'!K18="－","－","？")))</f>
        <v/>
      </c>
      <c r="K18" s="11">
        <f>IF($A18="","",IF('入力'!L18="○","○",IF('入力'!L18="－","－","？")))</f>
        <v/>
      </c>
      <c r="L18" s="11">
        <f>IF($A18="","",IF('入力'!M18="○","○",IF('入力'!M18="－","－","？")))</f>
        <v/>
      </c>
      <c r="M18" s="11">
        <f>IF($A18="","",IF('入力'!N18="○","○",IF('入力'!N18="－","－","？")))</f>
        <v/>
      </c>
      <c r="N18" s="11">
        <f>IF($A18="","",IF('入力'!O18="○","○",IF('入力'!O18="－","－","？")))</f>
        <v/>
      </c>
      <c r="O18" s="11">
        <f>IF($A18="","",IF('入力'!P18="○","○",IF('入力'!P18="－","－","？")))</f>
        <v/>
      </c>
      <c r="P18" s="11">
        <f>IF($A18="","",IF('入力'!Q18="○","○",IF('入力'!Q18="－","－","？")))</f>
        <v/>
      </c>
      <c r="Q18" s="11">
        <f>IF($A18="","",IF('入力'!R18="○","○",IF('入力'!R18="－","－","？")))</f>
        <v/>
      </c>
      <c r="R18" s="11">
        <f>IF($A18="","",IF('入力'!S18="○","○",IF('入力'!S18="－","－","？")))</f>
        <v/>
      </c>
      <c r="S18" s="11">
        <f>IF($A18="","",IF('入力'!T18="○","○",IF('入力'!T18="－","－","？")))</f>
        <v/>
      </c>
      <c r="T18" s="11">
        <f>IF($A18="","",IF('入力'!U18="○","○",IF('入力'!U18="－","－","？")))</f>
        <v/>
      </c>
      <c r="U18" s="11">
        <f>IF($A18="","",IF('入力'!V18="○","○",IF('入力'!V18="－","－","？")))</f>
        <v/>
      </c>
      <c r="V18" s="11">
        <f>IF($A18="","",IF('入力'!W18="○","○",IF('入力'!W18="－","－","？")))</f>
        <v/>
      </c>
      <c r="W18" s="11">
        <f>IF($A18="","",IF('入力'!X18="○","○",IF('入力'!X18="－","－","？")))</f>
        <v/>
      </c>
      <c r="X18" s="11">
        <f>IF($A18="","",IF('入力'!Y18="○","○",IF('入力'!Y18="－","－","？")))</f>
        <v/>
      </c>
      <c r="Y18" s="11">
        <f>IF($A18="","",IF('入力'!Z18="○","○",IF('入力'!Z18="－","－","？")))</f>
        <v/>
      </c>
      <c r="Z18" s="11">
        <f>IF($A18="","",IF('入力'!AA18="○","○",IF('入力'!AA18="－","－","？")))</f>
        <v/>
      </c>
      <c r="AA18" s="11">
        <f>IF($A18="","",IF('入力'!AB18="○","○",IF('入力'!AB18="－","－","？")))</f>
        <v/>
      </c>
      <c r="AB18" s="11">
        <f>IF($A18="","",IF('入力'!AC18="○","○",IF('入力'!AC18="－","－","？")))</f>
        <v/>
      </c>
      <c r="AC18" s="11">
        <f>IF($A18="","",IF('入力'!AD18="○","○",IF('入力'!AD18="－","－","？")))</f>
        <v/>
      </c>
      <c r="AD18" s="11">
        <f>IF($A18="","",IF('入力'!AE18="○","○",IF('入力'!AE18="－","－","？")))</f>
        <v/>
      </c>
      <c r="AE18" s="31">
        <f>IF(OR($A18="",ISBLANK('入力'!AF18)),"",'入力'!AF18)</f>
        <v/>
      </c>
      <c r="AF18" s="22">
        <f>IF($A18="","",IF(OR('入力'!AI18="未確認あり",'入力'!AI18="入力値エラー"),"※未確認あり。","")&amp;'入力'!AH18)</f>
        <v/>
      </c>
    </row>
    <row r="19" ht="28" customHeight="1">
      <c r="A19" s="22">
        <f>IF(ISBLANK('入力'!$B19),"",'入力'!$B19)</f>
        <v/>
      </c>
      <c r="B19" s="11">
        <f>IF($A19="","",IF('入力'!C19="○","○",IF('入力'!C19="－","－","？")))</f>
        <v/>
      </c>
      <c r="C19" s="11">
        <f>IF($A19="","",IF('入力'!D19="○","○",IF('入力'!D19="－","－","？")))</f>
        <v/>
      </c>
      <c r="D19" s="11">
        <f>IF($A19="","",IF('入力'!E19="○","○",IF('入力'!E19="－","－","？")))</f>
        <v/>
      </c>
      <c r="E19" s="11">
        <f>IF($A19="","",IF('入力'!F19="○","○",IF('入力'!F19="－","－","？")))</f>
        <v/>
      </c>
      <c r="F19" s="11">
        <f>IF($A19="","",IF('入力'!G19="○","○",IF('入力'!G19="－","－","？")))</f>
        <v/>
      </c>
      <c r="G19" s="11">
        <f>IF($A19="","",IF('入力'!H19="○","○",IF('入力'!H19="－","－","？")))</f>
        <v/>
      </c>
      <c r="H19" s="11">
        <f>IF($A19="","",IF('入力'!I19="○","○",IF('入力'!I19="－","－","？")))</f>
        <v/>
      </c>
      <c r="I19" s="11">
        <f>IF($A19="","",IF('入力'!J19="○","○",IF('入力'!J19="－","－","？")))</f>
        <v/>
      </c>
      <c r="J19" s="23">
        <f>IF($A19="","",IF('入力'!K19="○","○",IF('入力'!K19="－","－","？")))</f>
        <v/>
      </c>
      <c r="K19" s="11">
        <f>IF($A19="","",IF('入力'!L19="○","○",IF('入力'!L19="－","－","？")))</f>
        <v/>
      </c>
      <c r="L19" s="11">
        <f>IF($A19="","",IF('入力'!M19="○","○",IF('入力'!M19="－","－","？")))</f>
        <v/>
      </c>
      <c r="M19" s="11">
        <f>IF($A19="","",IF('入力'!N19="○","○",IF('入力'!N19="－","－","？")))</f>
        <v/>
      </c>
      <c r="N19" s="11">
        <f>IF($A19="","",IF('入力'!O19="○","○",IF('入力'!O19="－","－","？")))</f>
        <v/>
      </c>
      <c r="O19" s="11">
        <f>IF($A19="","",IF('入力'!P19="○","○",IF('入力'!P19="－","－","？")))</f>
        <v/>
      </c>
      <c r="P19" s="11">
        <f>IF($A19="","",IF('入力'!Q19="○","○",IF('入力'!Q19="－","－","？")))</f>
        <v/>
      </c>
      <c r="Q19" s="11">
        <f>IF($A19="","",IF('入力'!R19="○","○",IF('入力'!R19="－","－","？")))</f>
        <v/>
      </c>
      <c r="R19" s="11">
        <f>IF($A19="","",IF('入力'!S19="○","○",IF('入力'!S19="－","－","？")))</f>
        <v/>
      </c>
      <c r="S19" s="11">
        <f>IF($A19="","",IF('入力'!T19="○","○",IF('入力'!T19="－","－","？")))</f>
        <v/>
      </c>
      <c r="T19" s="11">
        <f>IF($A19="","",IF('入力'!U19="○","○",IF('入力'!U19="－","－","？")))</f>
        <v/>
      </c>
      <c r="U19" s="11">
        <f>IF($A19="","",IF('入力'!V19="○","○",IF('入力'!V19="－","－","？")))</f>
        <v/>
      </c>
      <c r="V19" s="11">
        <f>IF($A19="","",IF('入力'!W19="○","○",IF('入力'!W19="－","－","？")))</f>
        <v/>
      </c>
      <c r="W19" s="11">
        <f>IF($A19="","",IF('入力'!X19="○","○",IF('入力'!X19="－","－","？")))</f>
        <v/>
      </c>
      <c r="X19" s="11">
        <f>IF($A19="","",IF('入力'!Y19="○","○",IF('入力'!Y19="－","－","？")))</f>
        <v/>
      </c>
      <c r="Y19" s="11">
        <f>IF($A19="","",IF('入力'!Z19="○","○",IF('入力'!Z19="－","－","？")))</f>
        <v/>
      </c>
      <c r="Z19" s="11">
        <f>IF($A19="","",IF('入力'!AA19="○","○",IF('入力'!AA19="－","－","？")))</f>
        <v/>
      </c>
      <c r="AA19" s="11">
        <f>IF($A19="","",IF('入力'!AB19="○","○",IF('入力'!AB19="－","－","？")))</f>
        <v/>
      </c>
      <c r="AB19" s="11">
        <f>IF($A19="","",IF('入力'!AC19="○","○",IF('入力'!AC19="－","－","？")))</f>
        <v/>
      </c>
      <c r="AC19" s="11">
        <f>IF($A19="","",IF('入力'!AD19="○","○",IF('入力'!AD19="－","－","？")))</f>
        <v/>
      </c>
      <c r="AD19" s="11">
        <f>IF($A19="","",IF('入力'!AE19="○","○",IF('入力'!AE19="－","－","？")))</f>
        <v/>
      </c>
      <c r="AE19" s="31">
        <f>IF(OR($A19="",ISBLANK('入力'!AF19)),"",'入力'!AF19)</f>
        <v/>
      </c>
      <c r="AF19" s="22">
        <f>IF($A19="","",IF(OR('入力'!AI19="未確認あり",'入力'!AI19="入力値エラー"),"※未確認あり。","")&amp;'入力'!AH19)</f>
        <v/>
      </c>
    </row>
    <row r="20" ht="28" customHeight="1">
      <c r="A20" s="22">
        <f>IF(ISBLANK('入力'!$B20),"",'入力'!$B20)</f>
        <v/>
      </c>
      <c r="B20" s="11">
        <f>IF($A20="","",IF('入力'!C20="○","○",IF('入力'!C20="－","－","？")))</f>
        <v/>
      </c>
      <c r="C20" s="11">
        <f>IF($A20="","",IF('入力'!D20="○","○",IF('入力'!D20="－","－","？")))</f>
        <v/>
      </c>
      <c r="D20" s="11">
        <f>IF($A20="","",IF('入力'!E20="○","○",IF('入力'!E20="－","－","？")))</f>
        <v/>
      </c>
      <c r="E20" s="11">
        <f>IF($A20="","",IF('入力'!F20="○","○",IF('入力'!F20="－","－","？")))</f>
        <v/>
      </c>
      <c r="F20" s="11">
        <f>IF($A20="","",IF('入力'!G20="○","○",IF('入力'!G20="－","－","？")))</f>
        <v/>
      </c>
      <c r="G20" s="11">
        <f>IF($A20="","",IF('入力'!H20="○","○",IF('入力'!H20="－","－","？")))</f>
        <v/>
      </c>
      <c r="H20" s="11">
        <f>IF($A20="","",IF('入力'!I20="○","○",IF('入力'!I20="－","－","？")))</f>
        <v/>
      </c>
      <c r="I20" s="11">
        <f>IF($A20="","",IF('入力'!J20="○","○",IF('入力'!J20="－","－","？")))</f>
        <v/>
      </c>
      <c r="J20" s="23">
        <f>IF($A20="","",IF('入力'!K20="○","○",IF('入力'!K20="－","－","？")))</f>
        <v/>
      </c>
      <c r="K20" s="11">
        <f>IF($A20="","",IF('入力'!L20="○","○",IF('入力'!L20="－","－","？")))</f>
        <v/>
      </c>
      <c r="L20" s="11">
        <f>IF($A20="","",IF('入力'!M20="○","○",IF('入力'!M20="－","－","？")))</f>
        <v/>
      </c>
      <c r="M20" s="11">
        <f>IF($A20="","",IF('入力'!N20="○","○",IF('入力'!N20="－","－","？")))</f>
        <v/>
      </c>
      <c r="N20" s="11">
        <f>IF($A20="","",IF('入力'!O20="○","○",IF('入力'!O20="－","－","？")))</f>
        <v/>
      </c>
      <c r="O20" s="11">
        <f>IF($A20="","",IF('入力'!P20="○","○",IF('入力'!P20="－","－","？")))</f>
        <v/>
      </c>
      <c r="P20" s="11">
        <f>IF($A20="","",IF('入力'!Q20="○","○",IF('入力'!Q20="－","－","？")))</f>
        <v/>
      </c>
      <c r="Q20" s="11">
        <f>IF($A20="","",IF('入力'!R20="○","○",IF('入力'!R20="－","－","？")))</f>
        <v/>
      </c>
      <c r="R20" s="11">
        <f>IF($A20="","",IF('入力'!S20="○","○",IF('入力'!S20="－","－","？")))</f>
        <v/>
      </c>
      <c r="S20" s="11">
        <f>IF($A20="","",IF('入力'!T20="○","○",IF('入力'!T20="－","－","？")))</f>
        <v/>
      </c>
      <c r="T20" s="11">
        <f>IF($A20="","",IF('入力'!U20="○","○",IF('入力'!U20="－","－","？")))</f>
        <v/>
      </c>
      <c r="U20" s="11">
        <f>IF($A20="","",IF('入力'!V20="○","○",IF('入力'!V20="－","－","？")))</f>
        <v/>
      </c>
      <c r="V20" s="11">
        <f>IF($A20="","",IF('入力'!W20="○","○",IF('入力'!W20="－","－","？")))</f>
        <v/>
      </c>
      <c r="W20" s="11">
        <f>IF($A20="","",IF('入力'!X20="○","○",IF('入力'!X20="－","－","？")))</f>
        <v/>
      </c>
      <c r="X20" s="11">
        <f>IF($A20="","",IF('入力'!Y20="○","○",IF('入力'!Y20="－","－","？")))</f>
        <v/>
      </c>
      <c r="Y20" s="11">
        <f>IF($A20="","",IF('入力'!Z20="○","○",IF('入力'!Z20="－","－","？")))</f>
        <v/>
      </c>
      <c r="Z20" s="11">
        <f>IF($A20="","",IF('入力'!AA20="○","○",IF('入力'!AA20="－","－","？")))</f>
        <v/>
      </c>
      <c r="AA20" s="11">
        <f>IF($A20="","",IF('入力'!AB20="○","○",IF('入力'!AB20="－","－","？")))</f>
        <v/>
      </c>
      <c r="AB20" s="11">
        <f>IF($A20="","",IF('入力'!AC20="○","○",IF('入力'!AC20="－","－","？")))</f>
        <v/>
      </c>
      <c r="AC20" s="11">
        <f>IF($A20="","",IF('入力'!AD20="○","○",IF('入力'!AD20="－","－","？")))</f>
        <v/>
      </c>
      <c r="AD20" s="11">
        <f>IF($A20="","",IF('入力'!AE20="○","○",IF('入力'!AE20="－","－","？")))</f>
        <v/>
      </c>
      <c r="AE20" s="31">
        <f>IF(OR($A20="",ISBLANK('入力'!AF20)),"",'入力'!AF20)</f>
        <v/>
      </c>
      <c r="AF20" s="22">
        <f>IF($A20="","",IF(OR('入力'!AI20="未確認あり",'入力'!AI20="入力値エラー"),"※未確認あり。","")&amp;'入力'!AH20)</f>
        <v/>
      </c>
    </row>
    <row r="21" ht="28" customHeight="1">
      <c r="A21" s="22">
        <f>IF(ISBLANK('入力'!$B21),"",'入力'!$B21)</f>
        <v/>
      </c>
      <c r="B21" s="11">
        <f>IF($A21="","",IF('入力'!C21="○","○",IF('入力'!C21="－","－","？")))</f>
        <v/>
      </c>
      <c r="C21" s="11">
        <f>IF($A21="","",IF('入力'!D21="○","○",IF('入力'!D21="－","－","？")))</f>
        <v/>
      </c>
      <c r="D21" s="11">
        <f>IF($A21="","",IF('入力'!E21="○","○",IF('入力'!E21="－","－","？")))</f>
        <v/>
      </c>
      <c r="E21" s="11">
        <f>IF($A21="","",IF('入力'!F21="○","○",IF('入力'!F21="－","－","？")))</f>
        <v/>
      </c>
      <c r="F21" s="11">
        <f>IF($A21="","",IF('入力'!G21="○","○",IF('入力'!G21="－","－","？")))</f>
        <v/>
      </c>
      <c r="G21" s="11">
        <f>IF($A21="","",IF('入力'!H21="○","○",IF('入力'!H21="－","－","？")))</f>
        <v/>
      </c>
      <c r="H21" s="11">
        <f>IF($A21="","",IF('入力'!I21="○","○",IF('入力'!I21="－","－","？")))</f>
        <v/>
      </c>
      <c r="I21" s="11">
        <f>IF($A21="","",IF('入力'!J21="○","○",IF('入力'!J21="－","－","？")))</f>
        <v/>
      </c>
      <c r="J21" s="23">
        <f>IF($A21="","",IF('入力'!K21="○","○",IF('入力'!K21="－","－","？")))</f>
        <v/>
      </c>
      <c r="K21" s="11">
        <f>IF($A21="","",IF('入力'!L21="○","○",IF('入力'!L21="－","－","？")))</f>
        <v/>
      </c>
      <c r="L21" s="11">
        <f>IF($A21="","",IF('入力'!M21="○","○",IF('入力'!M21="－","－","？")))</f>
        <v/>
      </c>
      <c r="M21" s="11">
        <f>IF($A21="","",IF('入力'!N21="○","○",IF('入力'!N21="－","－","？")))</f>
        <v/>
      </c>
      <c r="N21" s="11">
        <f>IF($A21="","",IF('入力'!O21="○","○",IF('入力'!O21="－","－","？")))</f>
        <v/>
      </c>
      <c r="O21" s="11">
        <f>IF($A21="","",IF('入力'!P21="○","○",IF('入力'!P21="－","－","？")))</f>
        <v/>
      </c>
      <c r="P21" s="11">
        <f>IF($A21="","",IF('入力'!Q21="○","○",IF('入力'!Q21="－","－","？")))</f>
        <v/>
      </c>
      <c r="Q21" s="11">
        <f>IF($A21="","",IF('入力'!R21="○","○",IF('入力'!R21="－","－","？")))</f>
        <v/>
      </c>
      <c r="R21" s="11">
        <f>IF($A21="","",IF('入力'!S21="○","○",IF('入力'!S21="－","－","？")))</f>
        <v/>
      </c>
      <c r="S21" s="11">
        <f>IF($A21="","",IF('入力'!T21="○","○",IF('入力'!T21="－","－","？")))</f>
        <v/>
      </c>
      <c r="T21" s="11">
        <f>IF($A21="","",IF('入力'!U21="○","○",IF('入力'!U21="－","－","？")))</f>
        <v/>
      </c>
      <c r="U21" s="11">
        <f>IF($A21="","",IF('入力'!V21="○","○",IF('入力'!V21="－","－","？")))</f>
        <v/>
      </c>
      <c r="V21" s="11">
        <f>IF($A21="","",IF('入力'!W21="○","○",IF('入力'!W21="－","－","？")))</f>
        <v/>
      </c>
      <c r="W21" s="11">
        <f>IF($A21="","",IF('入力'!X21="○","○",IF('入力'!X21="－","－","？")))</f>
        <v/>
      </c>
      <c r="X21" s="11">
        <f>IF($A21="","",IF('入力'!Y21="○","○",IF('入力'!Y21="－","－","？")))</f>
        <v/>
      </c>
      <c r="Y21" s="11">
        <f>IF($A21="","",IF('入力'!Z21="○","○",IF('入力'!Z21="－","－","？")))</f>
        <v/>
      </c>
      <c r="Z21" s="11">
        <f>IF($A21="","",IF('入力'!AA21="○","○",IF('入力'!AA21="－","－","？")))</f>
        <v/>
      </c>
      <c r="AA21" s="11">
        <f>IF($A21="","",IF('入力'!AB21="○","○",IF('入力'!AB21="－","－","？")))</f>
        <v/>
      </c>
      <c r="AB21" s="11">
        <f>IF($A21="","",IF('入力'!AC21="○","○",IF('入力'!AC21="－","－","？")))</f>
        <v/>
      </c>
      <c r="AC21" s="11">
        <f>IF($A21="","",IF('入力'!AD21="○","○",IF('入力'!AD21="－","－","？")))</f>
        <v/>
      </c>
      <c r="AD21" s="11">
        <f>IF($A21="","",IF('入力'!AE21="○","○",IF('入力'!AE21="－","－","？")))</f>
        <v/>
      </c>
      <c r="AE21" s="31">
        <f>IF(OR($A21="",ISBLANK('入力'!AF21)),"",'入力'!AF21)</f>
        <v/>
      </c>
      <c r="AF21" s="22">
        <f>IF($A21="","",IF(OR('入力'!AI21="未確認あり",'入力'!AI21="入力値エラー"),"※未確認あり。","")&amp;'入力'!AH21)</f>
        <v/>
      </c>
    </row>
    <row r="22" ht="28" customHeight="1">
      <c r="A22" s="22">
        <f>IF(ISBLANK('入力'!$B22),"",'入力'!$B22)</f>
        <v/>
      </c>
      <c r="B22" s="11">
        <f>IF($A22="","",IF('入力'!C22="○","○",IF('入力'!C22="－","－","？")))</f>
        <v/>
      </c>
      <c r="C22" s="11">
        <f>IF($A22="","",IF('入力'!D22="○","○",IF('入力'!D22="－","－","？")))</f>
        <v/>
      </c>
      <c r="D22" s="11">
        <f>IF($A22="","",IF('入力'!E22="○","○",IF('入力'!E22="－","－","？")))</f>
        <v/>
      </c>
      <c r="E22" s="11">
        <f>IF($A22="","",IF('入力'!F22="○","○",IF('入力'!F22="－","－","？")))</f>
        <v/>
      </c>
      <c r="F22" s="11">
        <f>IF($A22="","",IF('入力'!G22="○","○",IF('入力'!G22="－","－","？")))</f>
        <v/>
      </c>
      <c r="G22" s="11">
        <f>IF($A22="","",IF('入力'!H22="○","○",IF('入力'!H22="－","－","？")))</f>
        <v/>
      </c>
      <c r="H22" s="11">
        <f>IF($A22="","",IF('入力'!I22="○","○",IF('入力'!I22="－","－","？")))</f>
        <v/>
      </c>
      <c r="I22" s="11">
        <f>IF($A22="","",IF('入力'!J22="○","○",IF('入力'!J22="－","－","？")))</f>
        <v/>
      </c>
      <c r="J22" s="23">
        <f>IF($A22="","",IF('入力'!K22="○","○",IF('入力'!K22="－","－","？")))</f>
        <v/>
      </c>
      <c r="K22" s="11">
        <f>IF($A22="","",IF('入力'!L22="○","○",IF('入力'!L22="－","－","？")))</f>
        <v/>
      </c>
      <c r="L22" s="11">
        <f>IF($A22="","",IF('入力'!M22="○","○",IF('入力'!M22="－","－","？")))</f>
        <v/>
      </c>
      <c r="M22" s="11">
        <f>IF($A22="","",IF('入力'!N22="○","○",IF('入力'!N22="－","－","？")))</f>
        <v/>
      </c>
      <c r="N22" s="11">
        <f>IF($A22="","",IF('入力'!O22="○","○",IF('入力'!O22="－","－","？")))</f>
        <v/>
      </c>
      <c r="O22" s="11">
        <f>IF($A22="","",IF('入力'!P22="○","○",IF('入力'!P22="－","－","？")))</f>
        <v/>
      </c>
      <c r="P22" s="11">
        <f>IF($A22="","",IF('入力'!Q22="○","○",IF('入力'!Q22="－","－","？")))</f>
        <v/>
      </c>
      <c r="Q22" s="11">
        <f>IF($A22="","",IF('入力'!R22="○","○",IF('入力'!R22="－","－","？")))</f>
        <v/>
      </c>
      <c r="R22" s="11">
        <f>IF($A22="","",IF('入力'!S22="○","○",IF('入力'!S22="－","－","？")))</f>
        <v/>
      </c>
      <c r="S22" s="11">
        <f>IF($A22="","",IF('入力'!T22="○","○",IF('入力'!T22="－","－","？")))</f>
        <v/>
      </c>
      <c r="T22" s="11">
        <f>IF($A22="","",IF('入力'!U22="○","○",IF('入力'!U22="－","－","？")))</f>
        <v/>
      </c>
      <c r="U22" s="11">
        <f>IF($A22="","",IF('入力'!V22="○","○",IF('入力'!V22="－","－","？")))</f>
        <v/>
      </c>
      <c r="V22" s="11">
        <f>IF($A22="","",IF('入力'!W22="○","○",IF('入力'!W22="－","－","？")))</f>
        <v/>
      </c>
      <c r="W22" s="11">
        <f>IF($A22="","",IF('入力'!X22="○","○",IF('入力'!X22="－","－","？")))</f>
        <v/>
      </c>
      <c r="X22" s="11">
        <f>IF($A22="","",IF('入力'!Y22="○","○",IF('入力'!Y22="－","－","？")))</f>
        <v/>
      </c>
      <c r="Y22" s="11">
        <f>IF($A22="","",IF('入力'!Z22="○","○",IF('入力'!Z22="－","－","？")))</f>
        <v/>
      </c>
      <c r="Z22" s="11">
        <f>IF($A22="","",IF('入力'!AA22="○","○",IF('入力'!AA22="－","－","？")))</f>
        <v/>
      </c>
      <c r="AA22" s="11">
        <f>IF($A22="","",IF('入力'!AB22="○","○",IF('入力'!AB22="－","－","？")))</f>
        <v/>
      </c>
      <c r="AB22" s="11">
        <f>IF($A22="","",IF('入力'!AC22="○","○",IF('入力'!AC22="－","－","？")))</f>
        <v/>
      </c>
      <c r="AC22" s="11">
        <f>IF($A22="","",IF('入力'!AD22="○","○",IF('入力'!AD22="－","－","？")))</f>
        <v/>
      </c>
      <c r="AD22" s="11">
        <f>IF($A22="","",IF('入力'!AE22="○","○",IF('入力'!AE22="－","－","？")))</f>
        <v/>
      </c>
      <c r="AE22" s="31">
        <f>IF(OR($A22="",ISBLANK('入力'!AF22)),"",'入力'!AF22)</f>
        <v/>
      </c>
      <c r="AF22" s="22">
        <f>IF($A22="","",IF(OR('入力'!AI22="未確認あり",'入力'!AI22="入力値エラー"),"※未確認あり。","")&amp;'入力'!AH22)</f>
        <v/>
      </c>
    </row>
    <row r="23" ht="28" customHeight="1">
      <c r="A23" s="22">
        <f>IF(ISBLANK('入力'!$B23),"",'入力'!$B23)</f>
        <v/>
      </c>
      <c r="B23" s="11">
        <f>IF($A23="","",IF('入力'!C23="○","○",IF('入力'!C23="－","－","？")))</f>
        <v/>
      </c>
      <c r="C23" s="11">
        <f>IF($A23="","",IF('入力'!D23="○","○",IF('入力'!D23="－","－","？")))</f>
        <v/>
      </c>
      <c r="D23" s="11">
        <f>IF($A23="","",IF('入力'!E23="○","○",IF('入力'!E23="－","－","？")))</f>
        <v/>
      </c>
      <c r="E23" s="11">
        <f>IF($A23="","",IF('入力'!F23="○","○",IF('入力'!F23="－","－","？")))</f>
        <v/>
      </c>
      <c r="F23" s="11">
        <f>IF($A23="","",IF('入力'!G23="○","○",IF('入力'!G23="－","－","？")))</f>
        <v/>
      </c>
      <c r="G23" s="11">
        <f>IF($A23="","",IF('入力'!H23="○","○",IF('入力'!H23="－","－","？")))</f>
        <v/>
      </c>
      <c r="H23" s="11">
        <f>IF($A23="","",IF('入力'!I23="○","○",IF('入力'!I23="－","－","？")))</f>
        <v/>
      </c>
      <c r="I23" s="11">
        <f>IF($A23="","",IF('入力'!J23="○","○",IF('入力'!J23="－","－","？")))</f>
        <v/>
      </c>
      <c r="J23" s="23">
        <f>IF($A23="","",IF('入力'!K23="○","○",IF('入力'!K23="－","－","？")))</f>
        <v/>
      </c>
      <c r="K23" s="11">
        <f>IF($A23="","",IF('入力'!L23="○","○",IF('入力'!L23="－","－","？")))</f>
        <v/>
      </c>
      <c r="L23" s="11">
        <f>IF($A23="","",IF('入力'!M23="○","○",IF('入力'!M23="－","－","？")))</f>
        <v/>
      </c>
      <c r="M23" s="11">
        <f>IF($A23="","",IF('入力'!N23="○","○",IF('入力'!N23="－","－","？")))</f>
        <v/>
      </c>
      <c r="N23" s="11">
        <f>IF($A23="","",IF('入力'!O23="○","○",IF('入力'!O23="－","－","？")))</f>
        <v/>
      </c>
      <c r="O23" s="11">
        <f>IF($A23="","",IF('入力'!P23="○","○",IF('入力'!P23="－","－","？")))</f>
        <v/>
      </c>
      <c r="P23" s="11">
        <f>IF($A23="","",IF('入力'!Q23="○","○",IF('入力'!Q23="－","－","？")))</f>
        <v/>
      </c>
      <c r="Q23" s="11">
        <f>IF($A23="","",IF('入力'!R23="○","○",IF('入力'!R23="－","－","？")))</f>
        <v/>
      </c>
      <c r="R23" s="11">
        <f>IF($A23="","",IF('入力'!S23="○","○",IF('入力'!S23="－","－","？")))</f>
        <v/>
      </c>
      <c r="S23" s="11">
        <f>IF($A23="","",IF('入力'!T23="○","○",IF('入力'!T23="－","－","？")))</f>
        <v/>
      </c>
      <c r="T23" s="11">
        <f>IF($A23="","",IF('入力'!U23="○","○",IF('入力'!U23="－","－","？")))</f>
        <v/>
      </c>
      <c r="U23" s="11">
        <f>IF($A23="","",IF('入力'!V23="○","○",IF('入力'!V23="－","－","？")))</f>
        <v/>
      </c>
      <c r="V23" s="11">
        <f>IF($A23="","",IF('入力'!W23="○","○",IF('入力'!W23="－","－","？")))</f>
        <v/>
      </c>
      <c r="W23" s="11">
        <f>IF($A23="","",IF('入力'!X23="○","○",IF('入力'!X23="－","－","？")))</f>
        <v/>
      </c>
      <c r="X23" s="11">
        <f>IF($A23="","",IF('入力'!Y23="○","○",IF('入力'!Y23="－","－","？")))</f>
        <v/>
      </c>
      <c r="Y23" s="11">
        <f>IF($A23="","",IF('入力'!Z23="○","○",IF('入力'!Z23="－","－","？")))</f>
        <v/>
      </c>
      <c r="Z23" s="11">
        <f>IF($A23="","",IF('入力'!AA23="○","○",IF('入力'!AA23="－","－","？")))</f>
        <v/>
      </c>
      <c r="AA23" s="11">
        <f>IF($A23="","",IF('入力'!AB23="○","○",IF('入力'!AB23="－","－","？")))</f>
        <v/>
      </c>
      <c r="AB23" s="11">
        <f>IF($A23="","",IF('入力'!AC23="○","○",IF('入力'!AC23="－","－","？")))</f>
        <v/>
      </c>
      <c r="AC23" s="11">
        <f>IF($A23="","",IF('入力'!AD23="○","○",IF('入力'!AD23="－","－","？")))</f>
        <v/>
      </c>
      <c r="AD23" s="11">
        <f>IF($A23="","",IF('入力'!AE23="○","○",IF('入力'!AE23="－","－","？")))</f>
        <v/>
      </c>
      <c r="AE23" s="31">
        <f>IF(OR($A23="",ISBLANK('入力'!AF23)),"",'入力'!AF23)</f>
        <v/>
      </c>
      <c r="AF23" s="22">
        <f>IF($A23="","",IF(OR('入力'!AI23="未確認あり",'入力'!AI23="入力値エラー"),"※未確認あり。","")&amp;'入力'!AH23)</f>
        <v/>
      </c>
    </row>
    <row r="24" ht="28" customHeight="1">
      <c r="A24" s="22">
        <f>IF(ISBLANK('入力'!$B24),"",'入力'!$B24)</f>
        <v/>
      </c>
      <c r="B24" s="11">
        <f>IF($A24="","",IF('入力'!C24="○","○",IF('入力'!C24="－","－","？")))</f>
        <v/>
      </c>
      <c r="C24" s="11">
        <f>IF($A24="","",IF('入力'!D24="○","○",IF('入力'!D24="－","－","？")))</f>
        <v/>
      </c>
      <c r="D24" s="11">
        <f>IF($A24="","",IF('入力'!E24="○","○",IF('入力'!E24="－","－","？")))</f>
        <v/>
      </c>
      <c r="E24" s="11">
        <f>IF($A24="","",IF('入力'!F24="○","○",IF('入力'!F24="－","－","？")))</f>
        <v/>
      </c>
      <c r="F24" s="11">
        <f>IF($A24="","",IF('入力'!G24="○","○",IF('入力'!G24="－","－","？")))</f>
        <v/>
      </c>
      <c r="G24" s="11">
        <f>IF($A24="","",IF('入力'!H24="○","○",IF('入力'!H24="－","－","？")))</f>
        <v/>
      </c>
      <c r="H24" s="11">
        <f>IF($A24="","",IF('入力'!I24="○","○",IF('入力'!I24="－","－","？")))</f>
        <v/>
      </c>
      <c r="I24" s="11">
        <f>IF($A24="","",IF('入力'!J24="○","○",IF('入力'!J24="－","－","？")))</f>
        <v/>
      </c>
      <c r="J24" s="23">
        <f>IF($A24="","",IF('入力'!K24="○","○",IF('入力'!K24="－","－","？")))</f>
        <v/>
      </c>
      <c r="K24" s="11">
        <f>IF($A24="","",IF('入力'!L24="○","○",IF('入力'!L24="－","－","？")))</f>
        <v/>
      </c>
      <c r="L24" s="11">
        <f>IF($A24="","",IF('入力'!M24="○","○",IF('入力'!M24="－","－","？")))</f>
        <v/>
      </c>
      <c r="M24" s="11">
        <f>IF($A24="","",IF('入力'!N24="○","○",IF('入力'!N24="－","－","？")))</f>
        <v/>
      </c>
      <c r="N24" s="11">
        <f>IF($A24="","",IF('入力'!O24="○","○",IF('入力'!O24="－","－","？")))</f>
        <v/>
      </c>
      <c r="O24" s="11">
        <f>IF($A24="","",IF('入力'!P24="○","○",IF('入力'!P24="－","－","？")))</f>
        <v/>
      </c>
      <c r="P24" s="11">
        <f>IF($A24="","",IF('入力'!Q24="○","○",IF('入力'!Q24="－","－","？")))</f>
        <v/>
      </c>
      <c r="Q24" s="11">
        <f>IF($A24="","",IF('入力'!R24="○","○",IF('入力'!R24="－","－","？")))</f>
        <v/>
      </c>
      <c r="R24" s="11">
        <f>IF($A24="","",IF('入力'!S24="○","○",IF('入力'!S24="－","－","？")))</f>
        <v/>
      </c>
      <c r="S24" s="11">
        <f>IF($A24="","",IF('入力'!T24="○","○",IF('入力'!T24="－","－","？")))</f>
        <v/>
      </c>
      <c r="T24" s="11">
        <f>IF($A24="","",IF('入力'!U24="○","○",IF('入力'!U24="－","－","？")))</f>
        <v/>
      </c>
      <c r="U24" s="11">
        <f>IF($A24="","",IF('入力'!V24="○","○",IF('入力'!V24="－","－","？")))</f>
        <v/>
      </c>
      <c r="V24" s="11">
        <f>IF($A24="","",IF('入力'!W24="○","○",IF('入力'!W24="－","－","？")))</f>
        <v/>
      </c>
      <c r="W24" s="11">
        <f>IF($A24="","",IF('入力'!X24="○","○",IF('入力'!X24="－","－","？")))</f>
        <v/>
      </c>
      <c r="X24" s="11">
        <f>IF($A24="","",IF('入力'!Y24="○","○",IF('入力'!Y24="－","－","？")))</f>
        <v/>
      </c>
      <c r="Y24" s="11">
        <f>IF($A24="","",IF('入力'!Z24="○","○",IF('入力'!Z24="－","－","？")))</f>
        <v/>
      </c>
      <c r="Z24" s="11">
        <f>IF($A24="","",IF('入力'!AA24="○","○",IF('入力'!AA24="－","－","？")))</f>
        <v/>
      </c>
      <c r="AA24" s="11">
        <f>IF($A24="","",IF('入力'!AB24="○","○",IF('入力'!AB24="－","－","？")))</f>
        <v/>
      </c>
      <c r="AB24" s="11">
        <f>IF($A24="","",IF('入力'!AC24="○","○",IF('入力'!AC24="－","－","？")))</f>
        <v/>
      </c>
      <c r="AC24" s="11">
        <f>IF($A24="","",IF('入力'!AD24="○","○",IF('入力'!AD24="－","－","？")))</f>
        <v/>
      </c>
      <c r="AD24" s="11">
        <f>IF($A24="","",IF('入力'!AE24="○","○",IF('入力'!AE24="－","－","？")))</f>
        <v/>
      </c>
      <c r="AE24" s="31">
        <f>IF(OR($A24="",ISBLANK('入力'!AF24)),"",'入力'!AF24)</f>
        <v/>
      </c>
      <c r="AF24" s="22">
        <f>IF($A24="","",IF(OR('入力'!AI24="未確認あり",'入力'!AI24="入力値エラー"),"※未確認あり。","")&amp;'入力'!AH24)</f>
        <v/>
      </c>
    </row>
    <row r="25" ht="28" customHeight="1">
      <c r="A25" s="22">
        <f>IF(ISBLANK('入力'!$B25),"",'入力'!$B25)</f>
        <v/>
      </c>
      <c r="B25" s="11">
        <f>IF($A25="","",IF('入力'!C25="○","○",IF('入力'!C25="－","－","？")))</f>
        <v/>
      </c>
      <c r="C25" s="11">
        <f>IF($A25="","",IF('入力'!D25="○","○",IF('入力'!D25="－","－","？")))</f>
        <v/>
      </c>
      <c r="D25" s="11">
        <f>IF($A25="","",IF('入力'!E25="○","○",IF('入力'!E25="－","－","？")))</f>
        <v/>
      </c>
      <c r="E25" s="11">
        <f>IF($A25="","",IF('入力'!F25="○","○",IF('入力'!F25="－","－","？")))</f>
        <v/>
      </c>
      <c r="F25" s="11">
        <f>IF($A25="","",IF('入力'!G25="○","○",IF('入力'!G25="－","－","？")))</f>
        <v/>
      </c>
      <c r="G25" s="11">
        <f>IF($A25="","",IF('入力'!H25="○","○",IF('入力'!H25="－","－","？")))</f>
        <v/>
      </c>
      <c r="H25" s="11">
        <f>IF($A25="","",IF('入力'!I25="○","○",IF('入力'!I25="－","－","？")))</f>
        <v/>
      </c>
      <c r="I25" s="11">
        <f>IF($A25="","",IF('入力'!J25="○","○",IF('入力'!J25="－","－","？")))</f>
        <v/>
      </c>
      <c r="J25" s="23">
        <f>IF($A25="","",IF('入力'!K25="○","○",IF('入力'!K25="－","－","？")))</f>
        <v/>
      </c>
      <c r="K25" s="11">
        <f>IF($A25="","",IF('入力'!L25="○","○",IF('入力'!L25="－","－","？")))</f>
        <v/>
      </c>
      <c r="L25" s="11">
        <f>IF($A25="","",IF('入力'!M25="○","○",IF('入力'!M25="－","－","？")))</f>
        <v/>
      </c>
      <c r="M25" s="11">
        <f>IF($A25="","",IF('入力'!N25="○","○",IF('入力'!N25="－","－","？")))</f>
        <v/>
      </c>
      <c r="N25" s="11">
        <f>IF($A25="","",IF('入力'!O25="○","○",IF('入力'!O25="－","－","？")))</f>
        <v/>
      </c>
      <c r="O25" s="11">
        <f>IF($A25="","",IF('入力'!P25="○","○",IF('入力'!P25="－","－","？")))</f>
        <v/>
      </c>
      <c r="P25" s="11">
        <f>IF($A25="","",IF('入力'!Q25="○","○",IF('入力'!Q25="－","－","？")))</f>
        <v/>
      </c>
      <c r="Q25" s="11">
        <f>IF($A25="","",IF('入力'!R25="○","○",IF('入力'!R25="－","－","？")))</f>
        <v/>
      </c>
      <c r="R25" s="11">
        <f>IF($A25="","",IF('入力'!S25="○","○",IF('入力'!S25="－","－","？")))</f>
        <v/>
      </c>
      <c r="S25" s="11">
        <f>IF($A25="","",IF('入力'!T25="○","○",IF('入力'!T25="－","－","？")))</f>
        <v/>
      </c>
      <c r="T25" s="11">
        <f>IF($A25="","",IF('入力'!U25="○","○",IF('入力'!U25="－","－","？")))</f>
        <v/>
      </c>
      <c r="U25" s="11">
        <f>IF($A25="","",IF('入力'!V25="○","○",IF('入力'!V25="－","－","？")))</f>
        <v/>
      </c>
      <c r="V25" s="11">
        <f>IF($A25="","",IF('入力'!W25="○","○",IF('入力'!W25="－","－","？")))</f>
        <v/>
      </c>
      <c r="W25" s="11">
        <f>IF($A25="","",IF('入力'!X25="○","○",IF('入力'!X25="－","－","？")))</f>
        <v/>
      </c>
      <c r="X25" s="11">
        <f>IF($A25="","",IF('入力'!Y25="○","○",IF('入力'!Y25="－","－","？")))</f>
        <v/>
      </c>
      <c r="Y25" s="11">
        <f>IF($A25="","",IF('入力'!Z25="○","○",IF('入力'!Z25="－","－","？")))</f>
        <v/>
      </c>
      <c r="Z25" s="11">
        <f>IF($A25="","",IF('入力'!AA25="○","○",IF('入力'!AA25="－","－","？")))</f>
        <v/>
      </c>
      <c r="AA25" s="11">
        <f>IF($A25="","",IF('入力'!AB25="○","○",IF('入力'!AB25="－","－","？")))</f>
        <v/>
      </c>
      <c r="AB25" s="11">
        <f>IF($A25="","",IF('入力'!AC25="○","○",IF('入力'!AC25="－","－","？")))</f>
        <v/>
      </c>
      <c r="AC25" s="11">
        <f>IF($A25="","",IF('入力'!AD25="○","○",IF('入力'!AD25="－","－","？")))</f>
        <v/>
      </c>
      <c r="AD25" s="11">
        <f>IF($A25="","",IF('入力'!AE25="○","○",IF('入力'!AE25="－","－","？")))</f>
        <v/>
      </c>
      <c r="AE25" s="31">
        <f>IF(OR($A25="",ISBLANK('入力'!AF25)),"",'入力'!AF25)</f>
        <v/>
      </c>
      <c r="AF25" s="22">
        <f>IF($A25="","",IF(OR('入力'!AI25="未確認あり",'入力'!AI25="入力値エラー"),"※未確認あり。","")&amp;'入力'!AH25)</f>
        <v/>
      </c>
    </row>
    <row r="26" ht="28" customHeight="1">
      <c r="A26" s="22">
        <f>IF(ISBLANK('入力'!$B26),"",'入力'!$B26)</f>
        <v/>
      </c>
      <c r="B26" s="11">
        <f>IF($A26="","",IF('入力'!C26="○","○",IF('入力'!C26="－","－","？")))</f>
        <v/>
      </c>
      <c r="C26" s="11">
        <f>IF($A26="","",IF('入力'!D26="○","○",IF('入力'!D26="－","－","？")))</f>
        <v/>
      </c>
      <c r="D26" s="11">
        <f>IF($A26="","",IF('入力'!E26="○","○",IF('入力'!E26="－","－","？")))</f>
        <v/>
      </c>
      <c r="E26" s="11">
        <f>IF($A26="","",IF('入力'!F26="○","○",IF('入力'!F26="－","－","？")))</f>
        <v/>
      </c>
      <c r="F26" s="11">
        <f>IF($A26="","",IF('入力'!G26="○","○",IF('入力'!G26="－","－","？")))</f>
        <v/>
      </c>
      <c r="G26" s="11">
        <f>IF($A26="","",IF('入力'!H26="○","○",IF('入力'!H26="－","－","？")))</f>
        <v/>
      </c>
      <c r="H26" s="11">
        <f>IF($A26="","",IF('入力'!I26="○","○",IF('入力'!I26="－","－","？")))</f>
        <v/>
      </c>
      <c r="I26" s="11">
        <f>IF($A26="","",IF('入力'!J26="○","○",IF('入力'!J26="－","－","？")))</f>
        <v/>
      </c>
      <c r="J26" s="23">
        <f>IF($A26="","",IF('入力'!K26="○","○",IF('入力'!K26="－","－","？")))</f>
        <v/>
      </c>
      <c r="K26" s="11">
        <f>IF($A26="","",IF('入力'!L26="○","○",IF('入力'!L26="－","－","？")))</f>
        <v/>
      </c>
      <c r="L26" s="11">
        <f>IF($A26="","",IF('入力'!M26="○","○",IF('入力'!M26="－","－","？")))</f>
        <v/>
      </c>
      <c r="M26" s="11">
        <f>IF($A26="","",IF('入力'!N26="○","○",IF('入力'!N26="－","－","？")))</f>
        <v/>
      </c>
      <c r="N26" s="11">
        <f>IF($A26="","",IF('入力'!O26="○","○",IF('入力'!O26="－","－","？")))</f>
        <v/>
      </c>
      <c r="O26" s="11">
        <f>IF($A26="","",IF('入力'!P26="○","○",IF('入力'!P26="－","－","？")))</f>
        <v/>
      </c>
      <c r="P26" s="11">
        <f>IF($A26="","",IF('入力'!Q26="○","○",IF('入力'!Q26="－","－","？")))</f>
        <v/>
      </c>
      <c r="Q26" s="11">
        <f>IF($A26="","",IF('入力'!R26="○","○",IF('入力'!R26="－","－","？")))</f>
        <v/>
      </c>
      <c r="R26" s="11">
        <f>IF($A26="","",IF('入力'!S26="○","○",IF('入力'!S26="－","－","？")))</f>
        <v/>
      </c>
      <c r="S26" s="11">
        <f>IF($A26="","",IF('入力'!T26="○","○",IF('入力'!T26="－","－","？")))</f>
        <v/>
      </c>
      <c r="T26" s="11">
        <f>IF($A26="","",IF('入力'!U26="○","○",IF('入力'!U26="－","－","？")))</f>
        <v/>
      </c>
      <c r="U26" s="11">
        <f>IF($A26="","",IF('入力'!V26="○","○",IF('入力'!V26="－","－","？")))</f>
        <v/>
      </c>
      <c r="V26" s="11">
        <f>IF($A26="","",IF('入力'!W26="○","○",IF('入力'!W26="－","－","？")))</f>
        <v/>
      </c>
      <c r="W26" s="11">
        <f>IF($A26="","",IF('入力'!X26="○","○",IF('入力'!X26="－","－","？")))</f>
        <v/>
      </c>
      <c r="X26" s="11">
        <f>IF($A26="","",IF('入力'!Y26="○","○",IF('入力'!Y26="－","－","？")))</f>
        <v/>
      </c>
      <c r="Y26" s="11">
        <f>IF($A26="","",IF('入力'!Z26="○","○",IF('入力'!Z26="－","－","？")))</f>
        <v/>
      </c>
      <c r="Z26" s="11">
        <f>IF($A26="","",IF('入力'!AA26="○","○",IF('入力'!AA26="－","－","？")))</f>
        <v/>
      </c>
      <c r="AA26" s="11">
        <f>IF($A26="","",IF('入力'!AB26="○","○",IF('入力'!AB26="－","－","？")))</f>
        <v/>
      </c>
      <c r="AB26" s="11">
        <f>IF($A26="","",IF('入力'!AC26="○","○",IF('入力'!AC26="－","－","？")))</f>
        <v/>
      </c>
      <c r="AC26" s="11">
        <f>IF($A26="","",IF('入力'!AD26="○","○",IF('入力'!AD26="－","－","？")))</f>
        <v/>
      </c>
      <c r="AD26" s="11">
        <f>IF($A26="","",IF('入力'!AE26="○","○",IF('入力'!AE26="－","－","？")))</f>
        <v/>
      </c>
      <c r="AE26" s="31">
        <f>IF(OR($A26="",ISBLANK('入力'!AF26)),"",'入力'!AF26)</f>
        <v/>
      </c>
      <c r="AF26" s="22">
        <f>IF($A26="","",IF(OR('入力'!AI26="未確認あり",'入力'!AI26="入力値エラー"),"※未確認あり。","")&amp;'入力'!AH26)</f>
        <v/>
      </c>
    </row>
    <row r="27" ht="28" customHeight="1">
      <c r="A27" s="22">
        <f>IF(ISBLANK('入力'!$B27),"",'入力'!$B27)</f>
        <v/>
      </c>
      <c r="B27" s="11">
        <f>IF($A27="","",IF('入力'!C27="○","○",IF('入力'!C27="－","－","？")))</f>
        <v/>
      </c>
      <c r="C27" s="11">
        <f>IF($A27="","",IF('入力'!D27="○","○",IF('入力'!D27="－","－","？")))</f>
        <v/>
      </c>
      <c r="D27" s="11">
        <f>IF($A27="","",IF('入力'!E27="○","○",IF('入力'!E27="－","－","？")))</f>
        <v/>
      </c>
      <c r="E27" s="11">
        <f>IF($A27="","",IF('入力'!F27="○","○",IF('入力'!F27="－","－","？")))</f>
        <v/>
      </c>
      <c r="F27" s="11">
        <f>IF($A27="","",IF('入力'!G27="○","○",IF('入力'!G27="－","－","？")))</f>
        <v/>
      </c>
      <c r="G27" s="11">
        <f>IF($A27="","",IF('入力'!H27="○","○",IF('入力'!H27="－","－","？")))</f>
        <v/>
      </c>
      <c r="H27" s="11">
        <f>IF($A27="","",IF('入力'!I27="○","○",IF('入力'!I27="－","－","？")))</f>
        <v/>
      </c>
      <c r="I27" s="11">
        <f>IF($A27="","",IF('入力'!J27="○","○",IF('入力'!J27="－","－","？")))</f>
        <v/>
      </c>
      <c r="J27" s="23">
        <f>IF($A27="","",IF('入力'!K27="○","○",IF('入力'!K27="－","－","？")))</f>
        <v/>
      </c>
      <c r="K27" s="11">
        <f>IF($A27="","",IF('入力'!L27="○","○",IF('入力'!L27="－","－","？")))</f>
        <v/>
      </c>
      <c r="L27" s="11">
        <f>IF($A27="","",IF('入力'!M27="○","○",IF('入力'!M27="－","－","？")))</f>
        <v/>
      </c>
      <c r="M27" s="11">
        <f>IF($A27="","",IF('入力'!N27="○","○",IF('入力'!N27="－","－","？")))</f>
        <v/>
      </c>
      <c r="N27" s="11">
        <f>IF($A27="","",IF('入力'!O27="○","○",IF('入力'!O27="－","－","？")))</f>
        <v/>
      </c>
      <c r="O27" s="11">
        <f>IF($A27="","",IF('入力'!P27="○","○",IF('入力'!P27="－","－","？")))</f>
        <v/>
      </c>
      <c r="P27" s="11">
        <f>IF($A27="","",IF('入力'!Q27="○","○",IF('入力'!Q27="－","－","？")))</f>
        <v/>
      </c>
      <c r="Q27" s="11">
        <f>IF($A27="","",IF('入力'!R27="○","○",IF('入力'!R27="－","－","？")))</f>
        <v/>
      </c>
      <c r="R27" s="11">
        <f>IF($A27="","",IF('入力'!S27="○","○",IF('入力'!S27="－","－","？")))</f>
        <v/>
      </c>
      <c r="S27" s="11">
        <f>IF($A27="","",IF('入力'!T27="○","○",IF('入力'!T27="－","－","？")))</f>
        <v/>
      </c>
      <c r="T27" s="11">
        <f>IF($A27="","",IF('入力'!U27="○","○",IF('入力'!U27="－","－","？")))</f>
        <v/>
      </c>
      <c r="U27" s="11">
        <f>IF($A27="","",IF('入力'!V27="○","○",IF('入力'!V27="－","－","？")))</f>
        <v/>
      </c>
      <c r="V27" s="11">
        <f>IF($A27="","",IF('入力'!W27="○","○",IF('入力'!W27="－","－","？")))</f>
        <v/>
      </c>
      <c r="W27" s="11">
        <f>IF($A27="","",IF('入力'!X27="○","○",IF('入力'!X27="－","－","？")))</f>
        <v/>
      </c>
      <c r="X27" s="11">
        <f>IF($A27="","",IF('入力'!Y27="○","○",IF('入力'!Y27="－","－","？")))</f>
        <v/>
      </c>
      <c r="Y27" s="11">
        <f>IF($A27="","",IF('入力'!Z27="○","○",IF('入力'!Z27="－","－","？")))</f>
        <v/>
      </c>
      <c r="Z27" s="11">
        <f>IF($A27="","",IF('入力'!AA27="○","○",IF('入力'!AA27="－","－","？")))</f>
        <v/>
      </c>
      <c r="AA27" s="11">
        <f>IF($A27="","",IF('入力'!AB27="○","○",IF('入力'!AB27="－","－","？")))</f>
        <v/>
      </c>
      <c r="AB27" s="11">
        <f>IF($A27="","",IF('入力'!AC27="○","○",IF('入力'!AC27="－","－","？")))</f>
        <v/>
      </c>
      <c r="AC27" s="11">
        <f>IF($A27="","",IF('入力'!AD27="○","○",IF('入力'!AD27="－","－","？")))</f>
        <v/>
      </c>
      <c r="AD27" s="11">
        <f>IF($A27="","",IF('入力'!AE27="○","○",IF('入力'!AE27="－","－","？")))</f>
        <v/>
      </c>
      <c r="AE27" s="31">
        <f>IF(OR($A27="",ISBLANK('入力'!AF27)),"",'入力'!AF27)</f>
        <v/>
      </c>
      <c r="AF27" s="22">
        <f>IF($A27="","",IF(OR('入力'!AI27="未確認あり",'入力'!AI27="入力値エラー"),"※未確認あり。","")&amp;'入力'!AH27)</f>
        <v/>
      </c>
    </row>
    <row r="28" ht="28" customHeight="1">
      <c r="A28" s="22">
        <f>IF(ISBLANK('入力'!$B28),"",'入力'!$B28)</f>
        <v/>
      </c>
      <c r="B28" s="11">
        <f>IF($A28="","",IF('入力'!C28="○","○",IF('入力'!C28="－","－","？")))</f>
        <v/>
      </c>
      <c r="C28" s="11">
        <f>IF($A28="","",IF('入力'!D28="○","○",IF('入力'!D28="－","－","？")))</f>
        <v/>
      </c>
      <c r="D28" s="11">
        <f>IF($A28="","",IF('入力'!E28="○","○",IF('入力'!E28="－","－","？")))</f>
        <v/>
      </c>
      <c r="E28" s="11">
        <f>IF($A28="","",IF('入力'!F28="○","○",IF('入力'!F28="－","－","？")))</f>
        <v/>
      </c>
      <c r="F28" s="11">
        <f>IF($A28="","",IF('入力'!G28="○","○",IF('入力'!G28="－","－","？")))</f>
        <v/>
      </c>
      <c r="G28" s="11">
        <f>IF($A28="","",IF('入力'!H28="○","○",IF('入力'!H28="－","－","？")))</f>
        <v/>
      </c>
      <c r="H28" s="11">
        <f>IF($A28="","",IF('入力'!I28="○","○",IF('入力'!I28="－","－","？")))</f>
        <v/>
      </c>
      <c r="I28" s="11">
        <f>IF($A28="","",IF('入力'!J28="○","○",IF('入力'!J28="－","－","？")))</f>
        <v/>
      </c>
      <c r="J28" s="23">
        <f>IF($A28="","",IF('入力'!K28="○","○",IF('入力'!K28="－","－","？")))</f>
        <v/>
      </c>
      <c r="K28" s="11">
        <f>IF($A28="","",IF('入力'!L28="○","○",IF('入力'!L28="－","－","？")))</f>
        <v/>
      </c>
      <c r="L28" s="11">
        <f>IF($A28="","",IF('入力'!M28="○","○",IF('入力'!M28="－","－","？")))</f>
        <v/>
      </c>
      <c r="M28" s="11">
        <f>IF($A28="","",IF('入力'!N28="○","○",IF('入力'!N28="－","－","？")))</f>
        <v/>
      </c>
      <c r="N28" s="11">
        <f>IF($A28="","",IF('入力'!O28="○","○",IF('入力'!O28="－","－","？")))</f>
        <v/>
      </c>
      <c r="O28" s="11">
        <f>IF($A28="","",IF('入力'!P28="○","○",IF('入力'!P28="－","－","？")))</f>
        <v/>
      </c>
      <c r="P28" s="11">
        <f>IF($A28="","",IF('入力'!Q28="○","○",IF('入力'!Q28="－","－","？")))</f>
        <v/>
      </c>
      <c r="Q28" s="11">
        <f>IF($A28="","",IF('入力'!R28="○","○",IF('入力'!R28="－","－","？")))</f>
        <v/>
      </c>
      <c r="R28" s="11">
        <f>IF($A28="","",IF('入力'!S28="○","○",IF('入力'!S28="－","－","？")))</f>
        <v/>
      </c>
      <c r="S28" s="11">
        <f>IF($A28="","",IF('入力'!T28="○","○",IF('入力'!T28="－","－","？")))</f>
        <v/>
      </c>
      <c r="T28" s="11">
        <f>IF($A28="","",IF('入力'!U28="○","○",IF('入力'!U28="－","－","？")))</f>
        <v/>
      </c>
      <c r="U28" s="11">
        <f>IF($A28="","",IF('入力'!V28="○","○",IF('入力'!V28="－","－","？")))</f>
        <v/>
      </c>
      <c r="V28" s="11">
        <f>IF($A28="","",IF('入力'!W28="○","○",IF('入力'!W28="－","－","？")))</f>
        <v/>
      </c>
      <c r="W28" s="11">
        <f>IF($A28="","",IF('入力'!X28="○","○",IF('入力'!X28="－","－","？")))</f>
        <v/>
      </c>
      <c r="X28" s="11">
        <f>IF($A28="","",IF('入力'!Y28="○","○",IF('入力'!Y28="－","－","？")))</f>
        <v/>
      </c>
      <c r="Y28" s="11">
        <f>IF($A28="","",IF('入力'!Z28="○","○",IF('入力'!Z28="－","－","？")))</f>
        <v/>
      </c>
      <c r="Z28" s="11">
        <f>IF($A28="","",IF('入力'!AA28="○","○",IF('入力'!AA28="－","－","？")))</f>
        <v/>
      </c>
      <c r="AA28" s="11">
        <f>IF($A28="","",IF('入力'!AB28="○","○",IF('入力'!AB28="－","－","？")))</f>
        <v/>
      </c>
      <c r="AB28" s="11">
        <f>IF($A28="","",IF('入力'!AC28="○","○",IF('入力'!AC28="－","－","？")))</f>
        <v/>
      </c>
      <c r="AC28" s="11">
        <f>IF($A28="","",IF('入力'!AD28="○","○",IF('入力'!AD28="－","－","？")))</f>
        <v/>
      </c>
      <c r="AD28" s="11">
        <f>IF($A28="","",IF('入力'!AE28="○","○",IF('入力'!AE28="－","－","？")))</f>
        <v/>
      </c>
      <c r="AE28" s="31">
        <f>IF(OR($A28="",ISBLANK('入力'!AF28)),"",'入力'!AF28)</f>
        <v/>
      </c>
      <c r="AF28" s="22">
        <f>IF($A28="","",IF(OR('入力'!AI28="未確認あり",'入力'!AI28="入力値エラー"),"※未確認あり。","")&amp;'入力'!AH28)</f>
        <v/>
      </c>
    </row>
    <row r="29" ht="28" customHeight="1">
      <c r="A29" s="22">
        <f>IF(ISBLANK('入力'!$B29),"",'入力'!$B29)</f>
        <v/>
      </c>
      <c r="B29" s="11">
        <f>IF($A29="","",IF('入力'!C29="○","○",IF('入力'!C29="－","－","？")))</f>
        <v/>
      </c>
      <c r="C29" s="11">
        <f>IF($A29="","",IF('入力'!D29="○","○",IF('入力'!D29="－","－","？")))</f>
        <v/>
      </c>
      <c r="D29" s="11">
        <f>IF($A29="","",IF('入力'!E29="○","○",IF('入力'!E29="－","－","？")))</f>
        <v/>
      </c>
      <c r="E29" s="11">
        <f>IF($A29="","",IF('入力'!F29="○","○",IF('入力'!F29="－","－","？")))</f>
        <v/>
      </c>
      <c r="F29" s="11">
        <f>IF($A29="","",IF('入力'!G29="○","○",IF('入力'!G29="－","－","？")))</f>
        <v/>
      </c>
      <c r="G29" s="11">
        <f>IF($A29="","",IF('入力'!H29="○","○",IF('入力'!H29="－","－","？")))</f>
        <v/>
      </c>
      <c r="H29" s="11">
        <f>IF($A29="","",IF('入力'!I29="○","○",IF('入力'!I29="－","－","？")))</f>
        <v/>
      </c>
      <c r="I29" s="11">
        <f>IF($A29="","",IF('入力'!J29="○","○",IF('入力'!J29="－","－","？")))</f>
        <v/>
      </c>
      <c r="J29" s="23">
        <f>IF($A29="","",IF('入力'!K29="○","○",IF('入力'!K29="－","－","？")))</f>
        <v/>
      </c>
      <c r="K29" s="11">
        <f>IF($A29="","",IF('入力'!L29="○","○",IF('入力'!L29="－","－","？")))</f>
        <v/>
      </c>
      <c r="L29" s="11">
        <f>IF($A29="","",IF('入力'!M29="○","○",IF('入力'!M29="－","－","？")))</f>
        <v/>
      </c>
      <c r="M29" s="11">
        <f>IF($A29="","",IF('入力'!N29="○","○",IF('入力'!N29="－","－","？")))</f>
        <v/>
      </c>
      <c r="N29" s="11">
        <f>IF($A29="","",IF('入力'!O29="○","○",IF('入力'!O29="－","－","？")))</f>
        <v/>
      </c>
      <c r="O29" s="11">
        <f>IF($A29="","",IF('入力'!P29="○","○",IF('入力'!P29="－","－","？")))</f>
        <v/>
      </c>
      <c r="P29" s="11">
        <f>IF($A29="","",IF('入力'!Q29="○","○",IF('入力'!Q29="－","－","？")))</f>
        <v/>
      </c>
      <c r="Q29" s="11">
        <f>IF($A29="","",IF('入力'!R29="○","○",IF('入力'!R29="－","－","？")))</f>
        <v/>
      </c>
      <c r="R29" s="11">
        <f>IF($A29="","",IF('入力'!S29="○","○",IF('入力'!S29="－","－","？")))</f>
        <v/>
      </c>
      <c r="S29" s="11">
        <f>IF($A29="","",IF('入力'!T29="○","○",IF('入力'!T29="－","－","？")))</f>
        <v/>
      </c>
      <c r="T29" s="11">
        <f>IF($A29="","",IF('入力'!U29="○","○",IF('入力'!U29="－","－","？")))</f>
        <v/>
      </c>
      <c r="U29" s="11">
        <f>IF($A29="","",IF('入力'!V29="○","○",IF('入力'!V29="－","－","？")))</f>
        <v/>
      </c>
      <c r="V29" s="11">
        <f>IF($A29="","",IF('入力'!W29="○","○",IF('入力'!W29="－","－","？")))</f>
        <v/>
      </c>
      <c r="W29" s="11">
        <f>IF($A29="","",IF('入力'!X29="○","○",IF('入力'!X29="－","－","？")))</f>
        <v/>
      </c>
      <c r="X29" s="11">
        <f>IF($A29="","",IF('入力'!Y29="○","○",IF('入力'!Y29="－","－","？")))</f>
        <v/>
      </c>
      <c r="Y29" s="11">
        <f>IF($A29="","",IF('入力'!Z29="○","○",IF('入力'!Z29="－","－","？")))</f>
        <v/>
      </c>
      <c r="Z29" s="11">
        <f>IF($A29="","",IF('入力'!AA29="○","○",IF('入力'!AA29="－","－","？")))</f>
        <v/>
      </c>
      <c r="AA29" s="11">
        <f>IF($A29="","",IF('入力'!AB29="○","○",IF('入力'!AB29="－","－","？")))</f>
        <v/>
      </c>
      <c r="AB29" s="11">
        <f>IF($A29="","",IF('入力'!AC29="○","○",IF('入力'!AC29="－","－","？")))</f>
        <v/>
      </c>
      <c r="AC29" s="11">
        <f>IF($A29="","",IF('入力'!AD29="○","○",IF('入力'!AD29="－","－","？")))</f>
        <v/>
      </c>
      <c r="AD29" s="11">
        <f>IF($A29="","",IF('入力'!AE29="○","○",IF('入力'!AE29="－","－","？")))</f>
        <v/>
      </c>
      <c r="AE29" s="31">
        <f>IF(OR($A29="",ISBLANK('入力'!AF29)),"",'入力'!AF29)</f>
        <v/>
      </c>
      <c r="AF29" s="22">
        <f>IF($A29="","",IF(OR('入力'!AI29="未確認あり",'入力'!AI29="入力値エラー"),"※未確認あり。","")&amp;'入力'!AH29)</f>
        <v/>
      </c>
    </row>
    <row r="30" ht="28" customHeight="1">
      <c r="A30" s="22">
        <f>IF(ISBLANK('入力'!$B30),"",'入力'!$B30)</f>
        <v/>
      </c>
      <c r="B30" s="11">
        <f>IF($A30="","",IF('入力'!C30="○","○",IF('入力'!C30="－","－","？")))</f>
        <v/>
      </c>
      <c r="C30" s="11">
        <f>IF($A30="","",IF('入力'!D30="○","○",IF('入力'!D30="－","－","？")))</f>
        <v/>
      </c>
      <c r="D30" s="11">
        <f>IF($A30="","",IF('入力'!E30="○","○",IF('入力'!E30="－","－","？")))</f>
        <v/>
      </c>
      <c r="E30" s="11">
        <f>IF($A30="","",IF('入力'!F30="○","○",IF('入力'!F30="－","－","？")))</f>
        <v/>
      </c>
      <c r="F30" s="11">
        <f>IF($A30="","",IF('入力'!G30="○","○",IF('入力'!G30="－","－","？")))</f>
        <v/>
      </c>
      <c r="G30" s="11">
        <f>IF($A30="","",IF('入力'!H30="○","○",IF('入力'!H30="－","－","？")))</f>
        <v/>
      </c>
      <c r="H30" s="11">
        <f>IF($A30="","",IF('入力'!I30="○","○",IF('入力'!I30="－","－","？")))</f>
        <v/>
      </c>
      <c r="I30" s="11">
        <f>IF($A30="","",IF('入力'!J30="○","○",IF('入力'!J30="－","－","？")))</f>
        <v/>
      </c>
      <c r="J30" s="23">
        <f>IF($A30="","",IF('入力'!K30="○","○",IF('入力'!K30="－","－","？")))</f>
        <v/>
      </c>
      <c r="K30" s="11">
        <f>IF($A30="","",IF('入力'!L30="○","○",IF('入力'!L30="－","－","？")))</f>
        <v/>
      </c>
      <c r="L30" s="11">
        <f>IF($A30="","",IF('入力'!M30="○","○",IF('入力'!M30="－","－","？")))</f>
        <v/>
      </c>
      <c r="M30" s="11">
        <f>IF($A30="","",IF('入力'!N30="○","○",IF('入力'!N30="－","－","？")))</f>
        <v/>
      </c>
      <c r="N30" s="11">
        <f>IF($A30="","",IF('入力'!O30="○","○",IF('入力'!O30="－","－","？")))</f>
        <v/>
      </c>
      <c r="O30" s="11">
        <f>IF($A30="","",IF('入力'!P30="○","○",IF('入力'!P30="－","－","？")))</f>
        <v/>
      </c>
      <c r="P30" s="11">
        <f>IF($A30="","",IF('入力'!Q30="○","○",IF('入力'!Q30="－","－","？")))</f>
        <v/>
      </c>
      <c r="Q30" s="11">
        <f>IF($A30="","",IF('入力'!R30="○","○",IF('入力'!R30="－","－","？")))</f>
        <v/>
      </c>
      <c r="R30" s="11">
        <f>IF($A30="","",IF('入力'!S30="○","○",IF('入力'!S30="－","－","？")))</f>
        <v/>
      </c>
      <c r="S30" s="11">
        <f>IF($A30="","",IF('入力'!T30="○","○",IF('入力'!T30="－","－","？")))</f>
        <v/>
      </c>
      <c r="T30" s="11">
        <f>IF($A30="","",IF('入力'!U30="○","○",IF('入力'!U30="－","－","？")))</f>
        <v/>
      </c>
      <c r="U30" s="11">
        <f>IF($A30="","",IF('入力'!V30="○","○",IF('入力'!V30="－","－","？")))</f>
        <v/>
      </c>
      <c r="V30" s="11">
        <f>IF($A30="","",IF('入力'!W30="○","○",IF('入力'!W30="－","－","？")))</f>
        <v/>
      </c>
      <c r="W30" s="11">
        <f>IF($A30="","",IF('入力'!X30="○","○",IF('入力'!X30="－","－","？")))</f>
        <v/>
      </c>
      <c r="X30" s="11">
        <f>IF($A30="","",IF('入力'!Y30="○","○",IF('入力'!Y30="－","－","？")))</f>
        <v/>
      </c>
      <c r="Y30" s="11">
        <f>IF($A30="","",IF('入力'!Z30="○","○",IF('入力'!Z30="－","－","？")))</f>
        <v/>
      </c>
      <c r="Z30" s="11">
        <f>IF($A30="","",IF('入力'!AA30="○","○",IF('入力'!AA30="－","－","？")))</f>
        <v/>
      </c>
      <c r="AA30" s="11">
        <f>IF($A30="","",IF('入力'!AB30="○","○",IF('入力'!AB30="－","－","？")))</f>
        <v/>
      </c>
      <c r="AB30" s="11">
        <f>IF($A30="","",IF('入力'!AC30="○","○",IF('入力'!AC30="－","－","？")))</f>
        <v/>
      </c>
      <c r="AC30" s="11">
        <f>IF($A30="","",IF('入力'!AD30="○","○",IF('入力'!AD30="－","－","？")))</f>
        <v/>
      </c>
      <c r="AD30" s="11">
        <f>IF($A30="","",IF('入力'!AE30="○","○",IF('入力'!AE30="－","－","？")))</f>
        <v/>
      </c>
      <c r="AE30" s="31">
        <f>IF(OR($A30="",ISBLANK('入力'!AF30)),"",'入力'!AF30)</f>
        <v/>
      </c>
      <c r="AF30" s="22">
        <f>IF($A30="","",IF(OR('入力'!AI30="未確認あり",'入力'!AI30="入力値エラー"),"※未確認あり。","")&amp;'入力'!AH30)</f>
        <v/>
      </c>
    </row>
    <row r="31" ht="28" customHeight="1">
      <c r="A31" s="22">
        <f>IF(ISBLANK('入力'!$B31),"",'入力'!$B31)</f>
        <v/>
      </c>
      <c r="B31" s="11">
        <f>IF($A31="","",IF('入力'!C31="○","○",IF('入力'!C31="－","－","？")))</f>
        <v/>
      </c>
      <c r="C31" s="11">
        <f>IF($A31="","",IF('入力'!D31="○","○",IF('入力'!D31="－","－","？")))</f>
        <v/>
      </c>
      <c r="D31" s="11">
        <f>IF($A31="","",IF('入力'!E31="○","○",IF('入力'!E31="－","－","？")))</f>
        <v/>
      </c>
      <c r="E31" s="11">
        <f>IF($A31="","",IF('入力'!F31="○","○",IF('入力'!F31="－","－","？")))</f>
        <v/>
      </c>
      <c r="F31" s="11">
        <f>IF($A31="","",IF('入力'!G31="○","○",IF('入力'!G31="－","－","？")))</f>
        <v/>
      </c>
      <c r="G31" s="11">
        <f>IF($A31="","",IF('入力'!H31="○","○",IF('入力'!H31="－","－","？")))</f>
        <v/>
      </c>
      <c r="H31" s="11">
        <f>IF($A31="","",IF('入力'!I31="○","○",IF('入力'!I31="－","－","？")))</f>
        <v/>
      </c>
      <c r="I31" s="11">
        <f>IF($A31="","",IF('入力'!J31="○","○",IF('入力'!J31="－","－","？")))</f>
        <v/>
      </c>
      <c r="J31" s="23">
        <f>IF($A31="","",IF('入力'!K31="○","○",IF('入力'!K31="－","－","？")))</f>
        <v/>
      </c>
      <c r="K31" s="11">
        <f>IF($A31="","",IF('入力'!L31="○","○",IF('入力'!L31="－","－","？")))</f>
        <v/>
      </c>
      <c r="L31" s="11">
        <f>IF($A31="","",IF('入力'!M31="○","○",IF('入力'!M31="－","－","？")))</f>
        <v/>
      </c>
      <c r="M31" s="11">
        <f>IF($A31="","",IF('入力'!N31="○","○",IF('入力'!N31="－","－","？")))</f>
        <v/>
      </c>
      <c r="N31" s="11">
        <f>IF($A31="","",IF('入力'!O31="○","○",IF('入力'!O31="－","－","？")))</f>
        <v/>
      </c>
      <c r="O31" s="11">
        <f>IF($A31="","",IF('入力'!P31="○","○",IF('入力'!P31="－","－","？")))</f>
        <v/>
      </c>
      <c r="P31" s="11">
        <f>IF($A31="","",IF('入力'!Q31="○","○",IF('入力'!Q31="－","－","？")))</f>
        <v/>
      </c>
      <c r="Q31" s="11">
        <f>IF($A31="","",IF('入力'!R31="○","○",IF('入力'!R31="－","－","？")))</f>
        <v/>
      </c>
      <c r="R31" s="11">
        <f>IF($A31="","",IF('入力'!S31="○","○",IF('入力'!S31="－","－","？")))</f>
        <v/>
      </c>
      <c r="S31" s="11">
        <f>IF($A31="","",IF('入力'!T31="○","○",IF('入力'!T31="－","－","？")))</f>
        <v/>
      </c>
      <c r="T31" s="11">
        <f>IF($A31="","",IF('入力'!U31="○","○",IF('入力'!U31="－","－","？")))</f>
        <v/>
      </c>
      <c r="U31" s="11">
        <f>IF($A31="","",IF('入力'!V31="○","○",IF('入力'!V31="－","－","？")))</f>
        <v/>
      </c>
      <c r="V31" s="11">
        <f>IF($A31="","",IF('入力'!W31="○","○",IF('入力'!W31="－","－","？")))</f>
        <v/>
      </c>
      <c r="W31" s="11">
        <f>IF($A31="","",IF('入力'!X31="○","○",IF('入力'!X31="－","－","？")))</f>
        <v/>
      </c>
      <c r="X31" s="11">
        <f>IF($A31="","",IF('入力'!Y31="○","○",IF('入力'!Y31="－","－","？")))</f>
        <v/>
      </c>
      <c r="Y31" s="11">
        <f>IF($A31="","",IF('入力'!Z31="○","○",IF('入力'!Z31="－","－","？")))</f>
        <v/>
      </c>
      <c r="Z31" s="11">
        <f>IF($A31="","",IF('入力'!AA31="○","○",IF('入力'!AA31="－","－","？")))</f>
        <v/>
      </c>
      <c r="AA31" s="11">
        <f>IF($A31="","",IF('入力'!AB31="○","○",IF('入力'!AB31="－","－","？")))</f>
        <v/>
      </c>
      <c r="AB31" s="11">
        <f>IF($A31="","",IF('入力'!AC31="○","○",IF('入力'!AC31="－","－","？")))</f>
        <v/>
      </c>
      <c r="AC31" s="11">
        <f>IF($A31="","",IF('入力'!AD31="○","○",IF('入力'!AD31="－","－","？")))</f>
        <v/>
      </c>
      <c r="AD31" s="11">
        <f>IF($A31="","",IF('入力'!AE31="○","○",IF('入力'!AE31="－","－","？")))</f>
        <v/>
      </c>
      <c r="AE31" s="31">
        <f>IF(OR($A31="",ISBLANK('入力'!AF31)),"",'入力'!AF31)</f>
        <v/>
      </c>
      <c r="AF31" s="22">
        <f>IF($A31="","",IF(OR('入力'!AI31="未確認あり",'入力'!AI31="入力値エラー"),"※未確認あり。","")&amp;'入力'!AH31)</f>
        <v/>
      </c>
    </row>
    <row r="32" ht="28" customHeight="1">
      <c r="A32" s="22">
        <f>IF(ISBLANK('入力'!$B32),"",'入力'!$B32)</f>
        <v/>
      </c>
      <c r="B32" s="11">
        <f>IF($A32="","",IF('入力'!C32="○","○",IF('入力'!C32="－","－","？")))</f>
        <v/>
      </c>
      <c r="C32" s="11">
        <f>IF($A32="","",IF('入力'!D32="○","○",IF('入力'!D32="－","－","？")))</f>
        <v/>
      </c>
      <c r="D32" s="11">
        <f>IF($A32="","",IF('入力'!E32="○","○",IF('入力'!E32="－","－","？")))</f>
        <v/>
      </c>
      <c r="E32" s="11">
        <f>IF($A32="","",IF('入力'!F32="○","○",IF('入力'!F32="－","－","？")))</f>
        <v/>
      </c>
      <c r="F32" s="11">
        <f>IF($A32="","",IF('入力'!G32="○","○",IF('入力'!G32="－","－","？")))</f>
        <v/>
      </c>
      <c r="G32" s="11">
        <f>IF($A32="","",IF('入力'!H32="○","○",IF('入力'!H32="－","－","？")))</f>
        <v/>
      </c>
      <c r="H32" s="11">
        <f>IF($A32="","",IF('入力'!I32="○","○",IF('入力'!I32="－","－","？")))</f>
        <v/>
      </c>
      <c r="I32" s="11">
        <f>IF($A32="","",IF('入力'!J32="○","○",IF('入力'!J32="－","－","？")))</f>
        <v/>
      </c>
      <c r="J32" s="23">
        <f>IF($A32="","",IF('入力'!K32="○","○",IF('入力'!K32="－","－","？")))</f>
        <v/>
      </c>
      <c r="K32" s="11">
        <f>IF($A32="","",IF('入力'!L32="○","○",IF('入力'!L32="－","－","？")))</f>
        <v/>
      </c>
      <c r="L32" s="11">
        <f>IF($A32="","",IF('入力'!M32="○","○",IF('入力'!M32="－","－","？")))</f>
        <v/>
      </c>
      <c r="M32" s="11">
        <f>IF($A32="","",IF('入力'!N32="○","○",IF('入力'!N32="－","－","？")))</f>
        <v/>
      </c>
      <c r="N32" s="11">
        <f>IF($A32="","",IF('入力'!O32="○","○",IF('入力'!O32="－","－","？")))</f>
        <v/>
      </c>
      <c r="O32" s="11">
        <f>IF($A32="","",IF('入力'!P32="○","○",IF('入力'!P32="－","－","？")))</f>
        <v/>
      </c>
      <c r="P32" s="11">
        <f>IF($A32="","",IF('入力'!Q32="○","○",IF('入力'!Q32="－","－","？")))</f>
        <v/>
      </c>
      <c r="Q32" s="11">
        <f>IF($A32="","",IF('入力'!R32="○","○",IF('入力'!R32="－","－","？")))</f>
        <v/>
      </c>
      <c r="R32" s="11">
        <f>IF($A32="","",IF('入力'!S32="○","○",IF('入力'!S32="－","－","？")))</f>
        <v/>
      </c>
      <c r="S32" s="11">
        <f>IF($A32="","",IF('入力'!T32="○","○",IF('入力'!T32="－","－","？")))</f>
        <v/>
      </c>
      <c r="T32" s="11">
        <f>IF($A32="","",IF('入力'!U32="○","○",IF('入力'!U32="－","－","？")))</f>
        <v/>
      </c>
      <c r="U32" s="11">
        <f>IF($A32="","",IF('入力'!V32="○","○",IF('入力'!V32="－","－","？")))</f>
        <v/>
      </c>
      <c r="V32" s="11">
        <f>IF($A32="","",IF('入力'!W32="○","○",IF('入力'!W32="－","－","？")))</f>
        <v/>
      </c>
      <c r="W32" s="11">
        <f>IF($A32="","",IF('入力'!X32="○","○",IF('入力'!X32="－","－","？")))</f>
        <v/>
      </c>
      <c r="X32" s="11">
        <f>IF($A32="","",IF('入力'!Y32="○","○",IF('入力'!Y32="－","－","？")))</f>
        <v/>
      </c>
      <c r="Y32" s="11">
        <f>IF($A32="","",IF('入力'!Z32="○","○",IF('入力'!Z32="－","－","？")))</f>
        <v/>
      </c>
      <c r="Z32" s="11">
        <f>IF($A32="","",IF('入力'!AA32="○","○",IF('入力'!AA32="－","－","？")))</f>
        <v/>
      </c>
      <c r="AA32" s="11">
        <f>IF($A32="","",IF('入力'!AB32="○","○",IF('入力'!AB32="－","－","？")))</f>
        <v/>
      </c>
      <c r="AB32" s="11">
        <f>IF($A32="","",IF('入力'!AC32="○","○",IF('入力'!AC32="－","－","？")))</f>
        <v/>
      </c>
      <c r="AC32" s="11">
        <f>IF($A32="","",IF('入力'!AD32="○","○",IF('入力'!AD32="－","－","？")))</f>
        <v/>
      </c>
      <c r="AD32" s="11">
        <f>IF($A32="","",IF('入力'!AE32="○","○",IF('入力'!AE32="－","－","？")))</f>
        <v/>
      </c>
      <c r="AE32" s="31">
        <f>IF(OR($A32="",ISBLANK('入力'!AF32)),"",'入力'!AF32)</f>
        <v/>
      </c>
      <c r="AF32" s="22">
        <f>IF($A32="","",IF(OR('入力'!AI32="未確認あり",'入力'!AI32="入力値エラー"),"※未確認あり。","")&amp;'入力'!AH32)</f>
        <v/>
      </c>
    </row>
    <row r="33" ht="28" customHeight="1">
      <c r="A33" s="22">
        <f>IF(ISBLANK('入力'!$B33),"",'入力'!$B33)</f>
        <v/>
      </c>
      <c r="B33" s="11">
        <f>IF($A33="","",IF('入力'!C33="○","○",IF('入力'!C33="－","－","？")))</f>
        <v/>
      </c>
      <c r="C33" s="11">
        <f>IF($A33="","",IF('入力'!D33="○","○",IF('入力'!D33="－","－","？")))</f>
        <v/>
      </c>
      <c r="D33" s="11">
        <f>IF($A33="","",IF('入力'!E33="○","○",IF('入力'!E33="－","－","？")))</f>
        <v/>
      </c>
      <c r="E33" s="11">
        <f>IF($A33="","",IF('入力'!F33="○","○",IF('入力'!F33="－","－","？")))</f>
        <v/>
      </c>
      <c r="F33" s="11">
        <f>IF($A33="","",IF('入力'!G33="○","○",IF('入力'!G33="－","－","？")))</f>
        <v/>
      </c>
      <c r="G33" s="11">
        <f>IF($A33="","",IF('入力'!H33="○","○",IF('入力'!H33="－","－","？")))</f>
        <v/>
      </c>
      <c r="H33" s="11">
        <f>IF($A33="","",IF('入力'!I33="○","○",IF('入力'!I33="－","－","？")))</f>
        <v/>
      </c>
      <c r="I33" s="11">
        <f>IF($A33="","",IF('入力'!J33="○","○",IF('入力'!J33="－","－","？")))</f>
        <v/>
      </c>
      <c r="J33" s="23">
        <f>IF($A33="","",IF('入力'!K33="○","○",IF('入力'!K33="－","－","？")))</f>
        <v/>
      </c>
      <c r="K33" s="11">
        <f>IF($A33="","",IF('入力'!L33="○","○",IF('入力'!L33="－","－","？")))</f>
        <v/>
      </c>
      <c r="L33" s="11">
        <f>IF($A33="","",IF('入力'!M33="○","○",IF('入力'!M33="－","－","？")))</f>
        <v/>
      </c>
      <c r="M33" s="11">
        <f>IF($A33="","",IF('入力'!N33="○","○",IF('入力'!N33="－","－","？")))</f>
        <v/>
      </c>
      <c r="N33" s="11">
        <f>IF($A33="","",IF('入力'!O33="○","○",IF('入力'!O33="－","－","？")))</f>
        <v/>
      </c>
      <c r="O33" s="11">
        <f>IF($A33="","",IF('入力'!P33="○","○",IF('入力'!P33="－","－","？")))</f>
        <v/>
      </c>
      <c r="P33" s="11">
        <f>IF($A33="","",IF('入力'!Q33="○","○",IF('入力'!Q33="－","－","？")))</f>
        <v/>
      </c>
      <c r="Q33" s="11">
        <f>IF($A33="","",IF('入力'!R33="○","○",IF('入力'!R33="－","－","？")))</f>
        <v/>
      </c>
      <c r="R33" s="11">
        <f>IF($A33="","",IF('入力'!S33="○","○",IF('入力'!S33="－","－","？")))</f>
        <v/>
      </c>
      <c r="S33" s="11">
        <f>IF($A33="","",IF('入力'!T33="○","○",IF('入力'!T33="－","－","？")))</f>
        <v/>
      </c>
      <c r="T33" s="11">
        <f>IF($A33="","",IF('入力'!U33="○","○",IF('入力'!U33="－","－","？")))</f>
        <v/>
      </c>
      <c r="U33" s="11">
        <f>IF($A33="","",IF('入力'!V33="○","○",IF('入力'!V33="－","－","？")))</f>
        <v/>
      </c>
      <c r="V33" s="11">
        <f>IF($A33="","",IF('入力'!W33="○","○",IF('入力'!W33="－","－","？")))</f>
        <v/>
      </c>
      <c r="W33" s="11">
        <f>IF($A33="","",IF('入力'!X33="○","○",IF('入力'!X33="－","－","？")))</f>
        <v/>
      </c>
      <c r="X33" s="11">
        <f>IF($A33="","",IF('入力'!Y33="○","○",IF('入力'!Y33="－","－","？")))</f>
        <v/>
      </c>
      <c r="Y33" s="11">
        <f>IF($A33="","",IF('入力'!Z33="○","○",IF('入力'!Z33="－","－","？")))</f>
        <v/>
      </c>
      <c r="Z33" s="11">
        <f>IF($A33="","",IF('入力'!AA33="○","○",IF('入力'!AA33="－","－","？")))</f>
        <v/>
      </c>
      <c r="AA33" s="11">
        <f>IF($A33="","",IF('入力'!AB33="○","○",IF('入力'!AB33="－","－","？")))</f>
        <v/>
      </c>
      <c r="AB33" s="11">
        <f>IF($A33="","",IF('入力'!AC33="○","○",IF('入力'!AC33="－","－","？")))</f>
        <v/>
      </c>
      <c r="AC33" s="11">
        <f>IF($A33="","",IF('入力'!AD33="○","○",IF('入力'!AD33="－","－","？")))</f>
        <v/>
      </c>
      <c r="AD33" s="11">
        <f>IF($A33="","",IF('入力'!AE33="○","○",IF('入力'!AE33="－","－","？")))</f>
        <v/>
      </c>
      <c r="AE33" s="31">
        <f>IF(OR($A33="",ISBLANK('入力'!AF33)),"",'入力'!AF33)</f>
        <v/>
      </c>
      <c r="AF33" s="22">
        <f>IF($A33="","",IF(OR('入力'!AI33="未確認あり",'入力'!AI33="入力値エラー"),"※未確認あり。","")&amp;'入力'!AH33)</f>
        <v/>
      </c>
    </row>
    <row r="34" ht="28" customHeight="1">
      <c r="A34" s="22">
        <f>IF(ISBLANK('入力'!$B34),"",'入力'!$B34)</f>
        <v/>
      </c>
      <c r="B34" s="11">
        <f>IF($A34="","",IF('入力'!C34="○","○",IF('入力'!C34="－","－","？")))</f>
        <v/>
      </c>
      <c r="C34" s="11">
        <f>IF($A34="","",IF('入力'!D34="○","○",IF('入力'!D34="－","－","？")))</f>
        <v/>
      </c>
      <c r="D34" s="11">
        <f>IF($A34="","",IF('入力'!E34="○","○",IF('入力'!E34="－","－","？")))</f>
        <v/>
      </c>
      <c r="E34" s="11">
        <f>IF($A34="","",IF('入力'!F34="○","○",IF('入力'!F34="－","－","？")))</f>
        <v/>
      </c>
      <c r="F34" s="11">
        <f>IF($A34="","",IF('入力'!G34="○","○",IF('入力'!G34="－","－","？")))</f>
        <v/>
      </c>
      <c r="G34" s="11">
        <f>IF($A34="","",IF('入力'!H34="○","○",IF('入力'!H34="－","－","？")))</f>
        <v/>
      </c>
      <c r="H34" s="11">
        <f>IF($A34="","",IF('入力'!I34="○","○",IF('入力'!I34="－","－","？")))</f>
        <v/>
      </c>
      <c r="I34" s="11">
        <f>IF($A34="","",IF('入力'!J34="○","○",IF('入力'!J34="－","－","？")))</f>
        <v/>
      </c>
      <c r="J34" s="23">
        <f>IF($A34="","",IF('入力'!K34="○","○",IF('入力'!K34="－","－","？")))</f>
        <v/>
      </c>
      <c r="K34" s="11">
        <f>IF($A34="","",IF('入力'!L34="○","○",IF('入力'!L34="－","－","？")))</f>
        <v/>
      </c>
      <c r="L34" s="11">
        <f>IF($A34="","",IF('入力'!M34="○","○",IF('入力'!M34="－","－","？")))</f>
        <v/>
      </c>
      <c r="M34" s="11">
        <f>IF($A34="","",IF('入力'!N34="○","○",IF('入力'!N34="－","－","？")))</f>
        <v/>
      </c>
      <c r="N34" s="11">
        <f>IF($A34="","",IF('入力'!O34="○","○",IF('入力'!O34="－","－","？")))</f>
        <v/>
      </c>
      <c r="O34" s="11">
        <f>IF($A34="","",IF('入力'!P34="○","○",IF('入力'!P34="－","－","？")))</f>
        <v/>
      </c>
      <c r="P34" s="11">
        <f>IF($A34="","",IF('入力'!Q34="○","○",IF('入力'!Q34="－","－","？")))</f>
        <v/>
      </c>
      <c r="Q34" s="11">
        <f>IF($A34="","",IF('入力'!R34="○","○",IF('入力'!R34="－","－","？")))</f>
        <v/>
      </c>
      <c r="R34" s="11">
        <f>IF($A34="","",IF('入力'!S34="○","○",IF('入力'!S34="－","－","？")))</f>
        <v/>
      </c>
      <c r="S34" s="11">
        <f>IF($A34="","",IF('入力'!T34="○","○",IF('入力'!T34="－","－","？")))</f>
        <v/>
      </c>
      <c r="T34" s="11">
        <f>IF($A34="","",IF('入力'!U34="○","○",IF('入力'!U34="－","－","？")))</f>
        <v/>
      </c>
      <c r="U34" s="11">
        <f>IF($A34="","",IF('入力'!V34="○","○",IF('入力'!V34="－","－","？")))</f>
        <v/>
      </c>
      <c r="V34" s="11">
        <f>IF($A34="","",IF('入力'!W34="○","○",IF('入力'!W34="－","－","？")))</f>
        <v/>
      </c>
      <c r="W34" s="11">
        <f>IF($A34="","",IF('入力'!X34="○","○",IF('入力'!X34="－","－","？")))</f>
        <v/>
      </c>
      <c r="X34" s="11">
        <f>IF($A34="","",IF('入力'!Y34="○","○",IF('入力'!Y34="－","－","？")))</f>
        <v/>
      </c>
      <c r="Y34" s="11">
        <f>IF($A34="","",IF('入力'!Z34="○","○",IF('入力'!Z34="－","－","？")))</f>
        <v/>
      </c>
      <c r="Z34" s="11">
        <f>IF($A34="","",IF('入力'!AA34="○","○",IF('入力'!AA34="－","－","？")))</f>
        <v/>
      </c>
      <c r="AA34" s="11">
        <f>IF($A34="","",IF('入力'!AB34="○","○",IF('入力'!AB34="－","－","？")))</f>
        <v/>
      </c>
      <c r="AB34" s="11">
        <f>IF($A34="","",IF('入力'!AC34="○","○",IF('入力'!AC34="－","－","？")))</f>
        <v/>
      </c>
      <c r="AC34" s="11">
        <f>IF($A34="","",IF('入力'!AD34="○","○",IF('入力'!AD34="－","－","？")))</f>
        <v/>
      </c>
      <c r="AD34" s="11">
        <f>IF($A34="","",IF('入力'!AE34="○","○",IF('入力'!AE34="－","－","？")))</f>
        <v/>
      </c>
      <c r="AE34" s="31">
        <f>IF(OR($A34="",ISBLANK('入力'!AF34)),"",'入力'!AF34)</f>
        <v/>
      </c>
      <c r="AF34" s="22">
        <f>IF($A34="","",IF(OR('入力'!AI34="未確認あり",'入力'!AI34="入力値エラー"),"※未確認あり。","")&amp;'入力'!AH34)</f>
        <v/>
      </c>
    </row>
    <row r="35" ht="28" customHeight="1">
      <c r="A35" s="22">
        <f>IF(ISBLANK('入力'!$B35),"",'入力'!$B35)</f>
        <v/>
      </c>
      <c r="B35" s="11">
        <f>IF($A35="","",IF('入力'!C35="○","○",IF('入力'!C35="－","－","？")))</f>
        <v/>
      </c>
      <c r="C35" s="11">
        <f>IF($A35="","",IF('入力'!D35="○","○",IF('入力'!D35="－","－","？")))</f>
        <v/>
      </c>
      <c r="D35" s="11">
        <f>IF($A35="","",IF('入力'!E35="○","○",IF('入力'!E35="－","－","？")))</f>
        <v/>
      </c>
      <c r="E35" s="11">
        <f>IF($A35="","",IF('入力'!F35="○","○",IF('入力'!F35="－","－","？")))</f>
        <v/>
      </c>
      <c r="F35" s="11">
        <f>IF($A35="","",IF('入力'!G35="○","○",IF('入力'!G35="－","－","？")))</f>
        <v/>
      </c>
      <c r="G35" s="11">
        <f>IF($A35="","",IF('入力'!H35="○","○",IF('入力'!H35="－","－","？")))</f>
        <v/>
      </c>
      <c r="H35" s="11">
        <f>IF($A35="","",IF('入力'!I35="○","○",IF('入力'!I35="－","－","？")))</f>
        <v/>
      </c>
      <c r="I35" s="11">
        <f>IF($A35="","",IF('入力'!J35="○","○",IF('入力'!J35="－","－","？")))</f>
        <v/>
      </c>
      <c r="J35" s="23">
        <f>IF($A35="","",IF('入力'!K35="○","○",IF('入力'!K35="－","－","？")))</f>
        <v/>
      </c>
      <c r="K35" s="11">
        <f>IF($A35="","",IF('入力'!L35="○","○",IF('入力'!L35="－","－","？")))</f>
        <v/>
      </c>
      <c r="L35" s="11">
        <f>IF($A35="","",IF('入力'!M35="○","○",IF('入力'!M35="－","－","？")))</f>
        <v/>
      </c>
      <c r="M35" s="11">
        <f>IF($A35="","",IF('入力'!N35="○","○",IF('入力'!N35="－","－","？")))</f>
        <v/>
      </c>
      <c r="N35" s="11">
        <f>IF($A35="","",IF('入力'!O35="○","○",IF('入力'!O35="－","－","？")))</f>
        <v/>
      </c>
      <c r="O35" s="11">
        <f>IF($A35="","",IF('入力'!P35="○","○",IF('入力'!P35="－","－","？")))</f>
        <v/>
      </c>
      <c r="P35" s="11">
        <f>IF($A35="","",IF('入力'!Q35="○","○",IF('入力'!Q35="－","－","？")))</f>
        <v/>
      </c>
      <c r="Q35" s="11">
        <f>IF($A35="","",IF('入力'!R35="○","○",IF('入力'!R35="－","－","？")))</f>
        <v/>
      </c>
      <c r="R35" s="11">
        <f>IF($A35="","",IF('入力'!S35="○","○",IF('入力'!S35="－","－","？")))</f>
        <v/>
      </c>
      <c r="S35" s="11">
        <f>IF($A35="","",IF('入力'!T35="○","○",IF('入力'!T35="－","－","？")))</f>
        <v/>
      </c>
      <c r="T35" s="11">
        <f>IF($A35="","",IF('入力'!U35="○","○",IF('入力'!U35="－","－","？")))</f>
        <v/>
      </c>
      <c r="U35" s="11">
        <f>IF($A35="","",IF('入力'!V35="○","○",IF('入力'!V35="－","－","？")))</f>
        <v/>
      </c>
      <c r="V35" s="11">
        <f>IF($A35="","",IF('入力'!W35="○","○",IF('入力'!W35="－","－","？")))</f>
        <v/>
      </c>
      <c r="W35" s="11">
        <f>IF($A35="","",IF('入力'!X35="○","○",IF('入力'!X35="－","－","？")))</f>
        <v/>
      </c>
      <c r="X35" s="11">
        <f>IF($A35="","",IF('入力'!Y35="○","○",IF('入力'!Y35="－","－","？")))</f>
        <v/>
      </c>
      <c r="Y35" s="11">
        <f>IF($A35="","",IF('入力'!Z35="○","○",IF('入力'!Z35="－","－","？")))</f>
        <v/>
      </c>
      <c r="Z35" s="11">
        <f>IF($A35="","",IF('入力'!AA35="○","○",IF('入力'!AA35="－","－","？")))</f>
        <v/>
      </c>
      <c r="AA35" s="11">
        <f>IF($A35="","",IF('入力'!AB35="○","○",IF('入力'!AB35="－","－","？")))</f>
        <v/>
      </c>
      <c r="AB35" s="11">
        <f>IF($A35="","",IF('入力'!AC35="○","○",IF('入力'!AC35="－","－","？")))</f>
        <v/>
      </c>
      <c r="AC35" s="11">
        <f>IF($A35="","",IF('入力'!AD35="○","○",IF('入力'!AD35="－","－","？")))</f>
        <v/>
      </c>
      <c r="AD35" s="11">
        <f>IF($A35="","",IF('入力'!AE35="○","○",IF('入力'!AE35="－","－","？")))</f>
        <v/>
      </c>
      <c r="AE35" s="31">
        <f>IF(OR($A35="",ISBLANK('入力'!AF35)),"",'入力'!AF35)</f>
        <v/>
      </c>
      <c r="AF35" s="22">
        <f>IF($A35="","",IF(OR('入力'!AI35="未確認あり",'入力'!AI35="入力値エラー"),"※未確認あり。","")&amp;'入力'!AH35)</f>
        <v/>
      </c>
    </row>
    <row r="36" ht="28" customHeight="1">
      <c r="A36" s="22">
        <f>IF(ISBLANK('入力'!$B36),"",'入力'!$B36)</f>
        <v/>
      </c>
      <c r="B36" s="11">
        <f>IF($A36="","",IF('入力'!C36="○","○",IF('入力'!C36="－","－","？")))</f>
        <v/>
      </c>
      <c r="C36" s="11">
        <f>IF($A36="","",IF('入力'!D36="○","○",IF('入力'!D36="－","－","？")))</f>
        <v/>
      </c>
      <c r="D36" s="11">
        <f>IF($A36="","",IF('入力'!E36="○","○",IF('入力'!E36="－","－","？")))</f>
        <v/>
      </c>
      <c r="E36" s="11">
        <f>IF($A36="","",IF('入力'!F36="○","○",IF('入力'!F36="－","－","？")))</f>
        <v/>
      </c>
      <c r="F36" s="11">
        <f>IF($A36="","",IF('入力'!G36="○","○",IF('入力'!G36="－","－","？")))</f>
        <v/>
      </c>
      <c r="G36" s="11">
        <f>IF($A36="","",IF('入力'!H36="○","○",IF('入力'!H36="－","－","？")))</f>
        <v/>
      </c>
      <c r="H36" s="11">
        <f>IF($A36="","",IF('入力'!I36="○","○",IF('入力'!I36="－","－","？")))</f>
        <v/>
      </c>
      <c r="I36" s="11">
        <f>IF($A36="","",IF('入力'!J36="○","○",IF('入力'!J36="－","－","？")))</f>
        <v/>
      </c>
      <c r="J36" s="23">
        <f>IF($A36="","",IF('入力'!K36="○","○",IF('入力'!K36="－","－","？")))</f>
        <v/>
      </c>
      <c r="K36" s="11">
        <f>IF($A36="","",IF('入力'!L36="○","○",IF('入力'!L36="－","－","？")))</f>
        <v/>
      </c>
      <c r="L36" s="11">
        <f>IF($A36="","",IF('入力'!M36="○","○",IF('入力'!M36="－","－","？")))</f>
        <v/>
      </c>
      <c r="M36" s="11">
        <f>IF($A36="","",IF('入力'!N36="○","○",IF('入力'!N36="－","－","？")))</f>
        <v/>
      </c>
      <c r="N36" s="11">
        <f>IF($A36="","",IF('入力'!O36="○","○",IF('入力'!O36="－","－","？")))</f>
        <v/>
      </c>
      <c r="O36" s="11">
        <f>IF($A36="","",IF('入力'!P36="○","○",IF('入力'!P36="－","－","？")))</f>
        <v/>
      </c>
      <c r="P36" s="11">
        <f>IF($A36="","",IF('入力'!Q36="○","○",IF('入力'!Q36="－","－","？")))</f>
        <v/>
      </c>
      <c r="Q36" s="11">
        <f>IF($A36="","",IF('入力'!R36="○","○",IF('入力'!R36="－","－","？")))</f>
        <v/>
      </c>
      <c r="R36" s="11">
        <f>IF($A36="","",IF('入力'!S36="○","○",IF('入力'!S36="－","－","？")))</f>
        <v/>
      </c>
      <c r="S36" s="11">
        <f>IF($A36="","",IF('入力'!T36="○","○",IF('入力'!T36="－","－","？")))</f>
        <v/>
      </c>
      <c r="T36" s="11">
        <f>IF($A36="","",IF('入力'!U36="○","○",IF('入力'!U36="－","－","？")))</f>
        <v/>
      </c>
      <c r="U36" s="11">
        <f>IF($A36="","",IF('入力'!V36="○","○",IF('入力'!V36="－","－","？")))</f>
        <v/>
      </c>
      <c r="V36" s="11">
        <f>IF($A36="","",IF('入力'!W36="○","○",IF('入力'!W36="－","－","？")))</f>
        <v/>
      </c>
      <c r="W36" s="11">
        <f>IF($A36="","",IF('入力'!X36="○","○",IF('入力'!X36="－","－","？")))</f>
        <v/>
      </c>
      <c r="X36" s="11">
        <f>IF($A36="","",IF('入力'!Y36="○","○",IF('入力'!Y36="－","－","？")))</f>
        <v/>
      </c>
      <c r="Y36" s="11">
        <f>IF($A36="","",IF('入力'!Z36="○","○",IF('入力'!Z36="－","－","？")))</f>
        <v/>
      </c>
      <c r="Z36" s="11">
        <f>IF($A36="","",IF('入力'!AA36="○","○",IF('入力'!AA36="－","－","？")))</f>
        <v/>
      </c>
      <c r="AA36" s="11">
        <f>IF($A36="","",IF('入力'!AB36="○","○",IF('入力'!AB36="－","－","？")))</f>
        <v/>
      </c>
      <c r="AB36" s="11">
        <f>IF($A36="","",IF('入力'!AC36="○","○",IF('入力'!AC36="－","－","？")))</f>
        <v/>
      </c>
      <c r="AC36" s="11">
        <f>IF($A36="","",IF('入力'!AD36="○","○",IF('入力'!AD36="－","－","？")))</f>
        <v/>
      </c>
      <c r="AD36" s="11">
        <f>IF($A36="","",IF('入力'!AE36="○","○",IF('入力'!AE36="－","－","？")))</f>
        <v/>
      </c>
      <c r="AE36" s="31">
        <f>IF(OR($A36="",ISBLANK('入力'!AF36)),"",'入力'!AF36)</f>
        <v/>
      </c>
      <c r="AF36" s="22">
        <f>IF($A36="","",IF(OR('入力'!AI36="未確認あり",'入力'!AI36="入力値エラー"),"※未確認あり。","")&amp;'入力'!AH36)</f>
        <v/>
      </c>
    </row>
    <row r="37" ht="28" customHeight="1">
      <c r="A37" s="22">
        <f>IF(ISBLANK('入力'!$B37),"",'入力'!$B37)</f>
        <v/>
      </c>
      <c r="B37" s="11">
        <f>IF($A37="","",IF('入力'!C37="○","○",IF('入力'!C37="－","－","？")))</f>
        <v/>
      </c>
      <c r="C37" s="11">
        <f>IF($A37="","",IF('入力'!D37="○","○",IF('入力'!D37="－","－","？")))</f>
        <v/>
      </c>
      <c r="D37" s="11">
        <f>IF($A37="","",IF('入力'!E37="○","○",IF('入力'!E37="－","－","？")))</f>
        <v/>
      </c>
      <c r="E37" s="11">
        <f>IF($A37="","",IF('入力'!F37="○","○",IF('入力'!F37="－","－","？")))</f>
        <v/>
      </c>
      <c r="F37" s="11">
        <f>IF($A37="","",IF('入力'!G37="○","○",IF('入力'!G37="－","－","？")))</f>
        <v/>
      </c>
      <c r="G37" s="11">
        <f>IF($A37="","",IF('入力'!H37="○","○",IF('入力'!H37="－","－","？")))</f>
        <v/>
      </c>
      <c r="H37" s="11">
        <f>IF($A37="","",IF('入力'!I37="○","○",IF('入力'!I37="－","－","？")))</f>
        <v/>
      </c>
      <c r="I37" s="11">
        <f>IF($A37="","",IF('入力'!J37="○","○",IF('入力'!J37="－","－","？")))</f>
        <v/>
      </c>
      <c r="J37" s="23">
        <f>IF($A37="","",IF('入力'!K37="○","○",IF('入力'!K37="－","－","？")))</f>
        <v/>
      </c>
      <c r="K37" s="11">
        <f>IF($A37="","",IF('入力'!L37="○","○",IF('入力'!L37="－","－","？")))</f>
        <v/>
      </c>
      <c r="L37" s="11">
        <f>IF($A37="","",IF('入力'!M37="○","○",IF('入力'!M37="－","－","？")))</f>
        <v/>
      </c>
      <c r="M37" s="11">
        <f>IF($A37="","",IF('入力'!N37="○","○",IF('入力'!N37="－","－","？")))</f>
        <v/>
      </c>
      <c r="N37" s="11">
        <f>IF($A37="","",IF('入力'!O37="○","○",IF('入力'!O37="－","－","？")))</f>
        <v/>
      </c>
      <c r="O37" s="11">
        <f>IF($A37="","",IF('入力'!P37="○","○",IF('入力'!P37="－","－","？")))</f>
        <v/>
      </c>
      <c r="P37" s="11">
        <f>IF($A37="","",IF('入力'!Q37="○","○",IF('入力'!Q37="－","－","？")))</f>
        <v/>
      </c>
      <c r="Q37" s="11">
        <f>IF($A37="","",IF('入力'!R37="○","○",IF('入力'!R37="－","－","？")))</f>
        <v/>
      </c>
      <c r="R37" s="11">
        <f>IF($A37="","",IF('入力'!S37="○","○",IF('入力'!S37="－","－","？")))</f>
        <v/>
      </c>
      <c r="S37" s="11">
        <f>IF($A37="","",IF('入力'!T37="○","○",IF('入力'!T37="－","－","？")))</f>
        <v/>
      </c>
      <c r="T37" s="11">
        <f>IF($A37="","",IF('入力'!U37="○","○",IF('入力'!U37="－","－","？")))</f>
        <v/>
      </c>
      <c r="U37" s="11">
        <f>IF($A37="","",IF('入力'!V37="○","○",IF('入力'!V37="－","－","？")))</f>
        <v/>
      </c>
      <c r="V37" s="11">
        <f>IF($A37="","",IF('入力'!W37="○","○",IF('入力'!W37="－","－","？")))</f>
        <v/>
      </c>
      <c r="W37" s="11">
        <f>IF($A37="","",IF('入力'!X37="○","○",IF('入力'!X37="－","－","？")))</f>
        <v/>
      </c>
      <c r="X37" s="11">
        <f>IF($A37="","",IF('入力'!Y37="○","○",IF('入力'!Y37="－","－","？")))</f>
        <v/>
      </c>
      <c r="Y37" s="11">
        <f>IF($A37="","",IF('入力'!Z37="○","○",IF('入力'!Z37="－","－","？")))</f>
        <v/>
      </c>
      <c r="Z37" s="11">
        <f>IF($A37="","",IF('入力'!AA37="○","○",IF('入力'!AA37="－","－","？")))</f>
        <v/>
      </c>
      <c r="AA37" s="11">
        <f>IF($A37="","",IF('入力'!AB37="○","○",IF('入力'!AB37="－","－","？")))</f>
        <v/>
      </c>
      <c r="AB37" s="11">
        <f>IF($A37="","",IF('入力'!AC37="○","○",IF('入力'!AC37="－","－","？")))</f>
        <v/>
      </c>
      <c r="AC37" s="11">
        <f>IF($A37="","",IF('入力'!AD37="○","○",IF('入力'!AD37="－","－","？")))</f>
        <v/>
      </c>
      <c r="AD37" s="11">
        <f>IF($A37="","",IF('入力'!AE37="○","○",IF('入力'!AE37="－","－","？")))</f>
        <v/>
      </c>
      <c r="AE37" s="31">
        <f>IF(OR($A37="",ISBLANK('入力'!AF37)),"",'入力'!AF37)</f>
        <v/>
      </c>
      <c r="AF37" s="22">
        <f>IF($A37="","",IF(OR('入力'!AI37="未確認あり",'入力'!AI37="入力値エラー"),"※未確認あり。","")&amp;'入力'!AH37)</f>
        <v/>
      </c>
    </row>
    <row r="38" ht="28" customHeight="1">
      <c r="A38" s="22">
        <f>IF(ISBLANK('入力'!$B38),"",'入力'!$B38)</f>
        <v/>
      </c>
      <c r="B38" s="11">
        <f>IF($A38="","",IF('入力'!C38="○","○",IF('入力'!C38="－","－","？")))</f>
        <v/>
      </c>
      <c r="C38" s="11">
        <f>IF($A38="","",IF('入力'!D38="○","○",IF('入力'!D38="－","－","？")))</f>
        <v/>
      </c>
      <c r="D38" s="11">
        <f>IF($A38="","",IF('入力'!E38="○","○",IF('入力'!E38="－","－","？")))</f>
        <v/>
      </c>
      <c r="E38" s="11">
        <f>IF($A38="","",IF('入力'!F38="○","○",IF('入力'!F38="－","－","？")))</f>
        <v/>
      </c>
      <c r="F38" s="11">
        <f>IF($A38="","",IF('入力'!G38="○","○",IF('入力'!G38="－","－","？")))</f>
        <v/>
      </c>
      <c r="G38" s="11">
        <f>IF($A38="","",IF('入力'!H38="○","○",IF('入力'!H38="－","－","？")))</f>
        <v/>
      </c>
      <c r="H38" s="11">
        <f>IF($A38="","",IF('入力'!I38="○","○",IF('入力'!I38="－","－","？")))</f>
        <v/>
      </c>
      <c r="I38" s="11">
        <f>IF($A38="","",IF('入力'!J38="○","○",IF('入力'!J38="－","－","？")))</f>
        <v/>
      </c>
      <c r="J38" s="23">
        <f>IF($A38="","",IF('入力'!K38="○","○",IF('入力'!K38="－","－","？")))</f>
        <v/>
      </c>
      <c r="K38" s="11">
        <f>IF($A38="","",IF('入力'!L38="○","○",IF('入力'!L38="－","－","？")))</f>
        <v/>
      </c>
      <c r="L38" s="11">
        <f>IF($A38="","",IF('入力'!M38="○","○",IF('入力'!M38="－","－","？")))</f>
        <v/>
      </c>
      <c r="M38" s="11">
        <f>IF($A38="","",IF('入力'!N38="○","○",IF('入力'!N38="－","－","？")))</f>
        <v/>
      </c>
      <c r="N38" s="11">
        <f>IF($A38="","",IF('入力'!O38="○","○",IF('入力'!O38="－","－","？")))</f>
        <v/>
      </c>
      <c r="O38" s="11">
        <f>IF($A38="","",IF('入力'!P38="○","○",IF('入力'!P38="－","－","？")))</f>
        <v/>
      </c>
      <c r="P38" s="11">
        <f>IF($A38="","",IF('入力'!Q38="○","○",IF('入力'!Q38="－","－","？")))</f>
        <v/>
      </c>
      <c r="Q38" s="11">
        <f>IF($A38="","",IF('入力'!R38="○","○",IF('入力'!R38="－","－","？")))</f>
        <v/>
      </c>
      <c r="R38" s="11">
        <f>IF($A38="","",IF('入力'!S38="○","○",IF('入力'!S38="－","－","？")))</f>
        <v/>
      </c>
      <c r="S38" s="11">
        <f>IF($A38="","",IF('入力'!T38="○","○",IF('入力'!T38="－","－","？")))</f>
        <v/>
      </c>
      <c r="T38" s="11">
        <f>IF($A38="","",IF('入力'!U38="○","○",IF('入力'!U38="－","－","？")))</f>
        <v/>
      </c>
      <c r="U38" s="11">
        <f>IF($A38="","",IF('入力'!V38="○","○",IF('入力'!V38="－","－","？")))</f>
        <v/>
      </c>
      <c r="V38" s="11">
        <f>IF($A38="","",IF('入力'!W38="○","○",IF('入力'!W38="－","－","？")))</f>
        <v/>
      </c>
      <c r="W38" s="11">
        <f>IF($A38="","",IF('入力'!X38="○","○",IF('入力'!X38="－","－","？")))</f>
        <v/>
      </c>
      <c r="X38" s="11">
        <f>IF($A38="","",IF('入力'!Y38="○","○",IF('入力'!Y38="－","－","？")))</f>
        <v/>
      </c>
      <c r="Y38" s="11">
        <f>IF($A38="","",IF('入力'!Z38="○","○",IF('入力'!Z38="－","－","？")))</f>
        <v/>
      </c>
      <c r="Z38" s="11">
        <f>IF($A38="","",IF('入力'!AA38="○","○",IF('入力'!AA38="－","－","？")))</f>
        <v/>
      </c>
      <c r="AA38" s="11">
        <f>IF($A38="","",IF('入力'!AB38="○","○",IF('入力'!AB38="－","－","？")))</f>
        <v/>
      </c>
      <c r="AB38" s="11">
        <f>IF($A38="","",IF('入力'!AC38="○","○",IF('入力'!AC38="－","－","？")))</f>
        <v/>
      </c>
      <c r="AC38" s="11">
        <f>IF($A38="","",IF('入力'!AD38="○","○",IF('入力'!AD38="－","－","？")))</f>
        <v/>
      </c>
      <c r="AD38" s="11">
        <f>IF($A38="","",IF('入力'!AE38="○","○",IF('入力'!AE38="－","－","？")))</f>
        <v/>
      </c>
      <c r="AE38" s="31">
        <f>IF(OR($A38="",ISBLANK('入力'!AF38)),"",'入力'!AF38)</f>
        <v/>
      </c>
      <c r="AF38" s="22">
        <f>IF($A38="","",IF(OR('入力'!AI38="未確認あり",'入力'!AI38="入力値エラー"),"※未確認あり。","")&amp;'入力'!AH38)</f>
        <v/>
      </c>
    </row>
    <row r="39" ht="28" customHeight="1">
      <c r="A39" s="22">
        <f>IF(ISBLANK('入力'!$B39),"",'入力'!$B39)</f>
        <v/>
      </c>
      <c r="B39" s="11">
        <f>IF($A39="","",IF('入力'!C39="○","○",IF('入力'!C39="－","－","？")))</f>
        <v/>
      </c>
      <c r="C39" s="11">
        <f>IF($A39="","",IF('入力'!D39="○","○",IF('入力'!D39="－","－","？")))</f>
        <v/>
      </c>
      <c r="D39" s="11">
        <f>IF($A39="","",IF('入力'!E39="○","○",IF('入力'!E39="－","－","？")))</f>
        <v/>
      </c>
      <c r="E39" s="11">
        <f>IF($A39="","",IF('入力'!F39="○","○",IF('入力'!F39="－","－","？")))</f>
        <v/>
      </c>
      <c r="F39" s="11">
        <f>IF($A39="","",IF('入力'!G39="○","○",IF('入力'!G39="－","－","？")))</f>
        <v/>
      </c>
      <c r="G39" s="11">
        <f>IF($A39="","",IF('入力'!H39="○","○",IF('入力'!H39="－","－","？")))</f>
        <v/>
      </c>
      <c r="H39" s="11">
        <f>IF($A39="","",IF('入力'!I39="○","○",IF('入力'!I39="－","－","？")))</f>
        <v/>
      </c>
      <c r="I39" s="11">
        <f>IF($A39="","",IF('入力'!J39="○","○",IF('入力'!J39="－","－","？")))</f>
        <v/>
      </c>
      <c r="J39" s="23">
        <f>IF($A39="","",IF('入力'!K39="○","○",IF('入力'!K39="－","－","？")))</f>
        <v/>
      </c>
      <c r="K39" s="11">
        <f>IF($A39="","",IF('入力'!L39="○","○",IF('入力'!L39="－","－","？")))</f>
        <v/>
      </c>
      <c r="L39" s="11">
        <f>IF($A39="","",IF('入力'!M39="○","○",IF('入力'!M39="－","－","？")))</f>
        <v/>
      </c>
      <c r="M39" s="11">
        <f>IF($A39="","",IF('入力'!N39="○","○",IF('入力'!N39="－","－","？")))</f>
        <v/>
      </c>
      <c r="N39" s="11">
        <f>IF($A39="","",IF('入力'!O39="○","○",IF('入力'!O39="－","－","？")))</f>
        <v/>
      </c>
      <c r="O39" s="11">
        <f>IF($A39="","",IF('入力'!P39="○","○",IF('入力'!P39="－","－","？")))</f>
        <v/>
      </c>
      <c r="P39" s="11">
        <f>IF($A39="","",IF('入力'!Q39="○","○",IF('入力'!Q39="－","－","？")))</f>
        <v/>
      </c>
      <c r="Q39" s="11">
        <f>IF($A39="","",IF('入力'!R39="○","○",IF('入力'!R39="－","－","？")))</f>
        <v/>
      </c>
      <c r="R39" s="11">
        <f>IF($A39="","",IF('入力'!S39="○","○",IF('入力'!S39="－","－","？")))</f>
        <v/>
      </c>
      <c r="S39" s="11">
        <f>IF($A39="","",IF('入力'!T39="○","○",IF('入力'!T39="－","－","？")))</f>
        <v/>
      </c>
      <c r="T39" s="11">
        <f>IF($A39="","",IF('入力'!U39="○","○",IF('入力'!U39="－","－","？")))</f>
        <v/>
      </c>
      <c r="U39" s="11">
        <f>IF($A39="","",IF('入力'!V39="○","○",IF('入力'!V39="－","－","？")))</f>
        <v/>
      </c>
      <c r="V39" s="11">
        <f>IF($A39="","",IF('入力'!W39="○","○",IF('入力'!W39="－","－","？")))</f>
        <v/>
      </c>
      <c r="W39" s="11">
        <f>IF($A39="","",IF('入力'!X39="○","○",IF('入力'!X39="－","－","？")))</f>
        <v/>
      </c>
      <c r="X39" s="11">
        <f>IF($A39="","",IF('入力'!Y39="○","○",IF('入力'!Y39="－","－","？")))</f>
        <v/>
      </c>
      <c r="Y39" s="11">
        <f>IF($A39="","",IF('入力'!Z39="○","○",IF('入力'!Z39="－","－","？")))</f>
        <v/>
      </c>
      <c r="Z39" s="11">
        <f>IF($A39="","",IF('入力'!AA39="○","○",IF('入力'!AA39="－","－","？")))</f>
        <v/>
      </c>
      <c r="AA39" s="11">
        <f>IF($A39="","",IF('入力'!AB39="○","○",IF('入力'!AB39="－","－","？")))</f>
        <v/>
      </c>
      <c r="AB39" s="11">
        <f>IF($A39="","",IF('入力'!AC39="○","○",IF('入力'!AC39="－","－","？")))</f>
        <v/>
      </c>
      <c r="AC39" s="11">
        <f>IF($A39="","",IF('入力'!AD39="○","○",IF('入力'!AD39="－","－","？")))</f>
        <v/>
      </c>
      <c r="AD39" s="11">
        <f>IF($A39="","",IF('入力'!AE39="○","○",IF('入力'!AE39="－","－","？")))</f>
        <v/>
      </c>
      <c r="AE39" s="31">
        <f>IF(OR($A39="",ISBLANK('入力'!AF39)),"",'入力'!AF39)</f>
        <v/>
      </c>
      <c r="AF39" s="22">
        <f>IF($A39="","",IF(OR('入力'!AI39="未確認あり",'入力'!AI39="入力値エラー"),"※未確認あり。","")&amp;'入力'!AH39)</f>
        <v/>
      </c>
    </row>
    <row r="40" ht="28" customHeight="1">
      <c r="A40" s="22">
        <f>IF(ISBLANK('入力'!$B40),"",'入力'!$B40)</f>
        <v/>
      </c>
      <c r="B40" s="11">
        <f>IF($A40="","",IF('入力'!C40="○","○",IF('入力'!C40="－","－","？")))</f>
        <v/>
      </c>
      <c r="C40" s="11">
        <f>IF($A40="","",IF('入力'!D40="○","○",IF('入力'!D40="－","－","？")))</f>
        <v/>
      </c>
      <c r="D40" s="11">
        <f>IF($A40="","",IF('入力'!E40="○","○",IF('入力'!E40="－","－","？")))</f>
        <v/>
      </c>
      <c r="E40" s="11">
        <f>IF($A40="","",IF('入力'!F40="○","○",IF('入力'!F40="－","－","？")))</f>
        <v/>
      </c>
      <c r="F40" s="11">
        <f>IF($A40="","",IF('入力'!G40="○","○",IF('入力'!G40="－","－","？")))</f>
        <v/>
      </c>
      <c r="G40" s="11">
        <f>IF($A40="","",IF('入力'!H40="○","○",IF('入力'!H40="－","－","？")))</f>
        <v/>
      </c>
      <c r="H40" s="11">
        <f>IF($A40="","",IF('入力'!I40="○","○",IF('入力'!I40="－","－","？")))</f>
        <v/>
      </c>
      <c r="I40" s="11">
        <f>IF($A40="","",IF('入力'!J40="○","○",IF('入力'!J40="－","－","？")))</f>
        <v/>
      </c>
      <c r="J40" s="23">
        <f>IF($A40="","",IF('入力'!K40="○","○",IF('入力'!K40="－","－","？")))</f>
        <v/>
      </c>
      <c r="K40" s="11">
        <f>IF($A40="","",IF('入力'!L40="○","○",IF('入力'!L40="－","－","？")))</f>
        <v/>
      </c>
      <c r="L40" s="11">
        <f>IF($A40="","",IF('入力'!M40="○","○",IF('入力'!M40="－","－","？")))</f>
        <v/>
      </c>
      <c r="M40" s="11">
        <f>IF($A40="","",IF('入力'!N40="○","○",IF('入力'!N40="－","－","？")))</f>
        <v/>
      </c>
      <c r="N40" s="11">
        <f>IF($A40="","",IF('入力'!O40="○","○",IF('入力'!O40="－","－","？")))</f>
        <v/>
      </c>
      <c r="O40" s="11">
        <f>IF($A40="","",IF('入力'!P40="○","○",IF('入力'!P40="－","－","？")))</f>
        <v/>
      </c>
      <c r="P40" s="11">
        <f>IF($A40="","",IF('入力'!Q40="○","○",IF('入力'!Q40="－","－","？")))</f>
        <v/>
      </c>
      <c r="Q40" s="11">
        <f>IF($A40="","",IF('入力'!R40="○","○",IF('入力'!R40="－","－","？")))</f>
        <v/>
      </c>
      <c r="R40" s="11">
        <f>IF($A40="","",IF('入力'!S40="○","○",IF('入力'!S40="－","－","？")))</f>
        <v/>
      </c>
      <c r="S40" s="11">
        <f>IF($A40="","",IF('入力'!T40="○","○",IF('入力'!T40="－","－","？")))</f>
        <v/>
      </c>
      <c r="T40" s="11">
        <f>IF($A40="","",IF('入力'!U40="○","○",IF('入力'!U40="－","－","？")))</f>
        <v/>
      </c>
      <c r="U40" s="11">
        <f>IF($A40="","",IF('入力'!V40="○","○",IF('入力'!V40="－","－","？")))</f>
        <v/>
      </c>
      <c r="V40" s="11">
        <f>IF($A40="","",IF('入力'!W40="○","○",IF('入力'!W40="－","－","？")))</f>
        <v/>
      </c>
      <c r="W40" s="11">
        <f>IF($A40="","",IF('入力'!X40="○","○",IF('入力'!X40="－","－","？")))</f>
        <v/>
      </c>
      <c r="X40" s="11">
        <f>IF($A40="","",IF('入力'!Y40="○","○",IF('入力'!Y40="－","－","？")))</f>
        <v/>
      </c>
      <c r="Y40" s="11">
        <f>IF($A40="","",IF('入力'!Z40="○","○",IF('入力'!Z40="－","－","？")))</f>
        <v/>
      </c>
      <c r="Z40" s="11">
        <f>IF($A40="","",IF('入力'!AA40="○","○",IF('入力'!AA40="－","－","？")))</f>
        <v/>
      </c>
      <c r="AA40" s="11">
        <f>IF($A40="","",IF('入力'!AB40="○","○",IF('入力'!AB40="－","－","？")))</f>
        <v/>
      </c>
      <c r="AB40" s="11">
        <f>IF($A40="","",IF('入力'!AC40="○","○",IF('入力'!AC40="－","－","？")))</f>
        <v/>
      </c>
      <c r="AC40" s="11">
        <f>IF($A40="","",IF('入力'!AD40="○","○",IF('入力'!AD40="－","－","？")))</f>
        <v/>
      </c>
      <c r="AD40" s="11">
        <f>IF($A40="","",IF('入力'!AE40="○","○",IF('入力'!AE40="－","－","？")))</f>
        <v/>
      </c>
      <c r="AE40" s="31">
        <f>IF(OR($A40="",ISBLANK('入力'!AF40)),"",'入力'!AF40)</f>
        <v/>
      </c>
      <c r="AF40" s="22">
        <f>IF($A40="","",IF(OR('入力'!AI40="未確認あり",'入力'!AI40="入力値エラー"),"※未確認あり。","")&amp;'入力'!AH40)</f>
        <v/>
      </c>
    </row>
    <row r="41" ht="28" customHeight="1">
      <c r="A41" s="22">
        <f>IF(ISBLANK('入力'!$B41),"",'入力'!$B41)</f>
        <v/>
      </c>
      <c r="B41" s="11">
        <f>IF($A41="","",IF('入力'!C41="○","○",IF('入力'!C41="－","－","？")))</f>
        <v/>
      </c>
      <c r="C41" s="11">
        <f>IF($A41="","",IF('入力'!D41="○","○",IF('入力'!D41="－","－","？")))</f>
        <v/>
      </c>
      <c r="D41" s="11">
        <f>IF($A41="","",IF('入力'!E41="○","○",IF('入力'!E41="－","－","？")))</f>
        <v/>
      </c>
      <c r="E41" s="11">
        <f>IF($A41="","",IF('入力'!F41="○","○",IF('入力'!F41="－","－","？")))</f>
        <v/>
      </c>
      <c r="F41" s="11">
        <f>IF($A41="","",IF('入力'!G41="○","○",IF('入力'!G41="－","－","？")))</f>
        <v/>
      </c>
      <c r="G41" s="11">
        <f>IF($A41="","",IF('入力'!H41="○","○",IF('入力'!H41="－","－","？")))</f>
        <v/>
      </c>
      <c r="H41" s="11">
        <f>IF($A41="","",IF('入力'!I41="○","○",IF('入力'!I41="－","－","？")))</f>
        <v/>
      </c>
      <c r="I41" s="11">
        <f>IF($A41="","",IF('入力'!J41="○","○",IF('入力'!J41="－","－","？")))</f>
        <v/>
      </c>
      <c r="J41" s="23">
        <f>IF($A41="","",IF('入力'!K41="○","○",IF('入力'!K41="－","－","？")))</f>
        <v/>
      </c>
      <c r="K41" s="11">
        <f>IF($A41="","",IF('入力'!L41="○","○",IF('入力'!L41="－","－","？")))</f>
        <v/>
      </c>
      <c r="L41" s="11">
        <f>IF($A41="","",IF('入力'!M41="○","○",IF('入力'!M41="－","－","？")))</f>
        <v/>
      </c>
      <c r="M41" s="11">
        <f>IF($A41="","",IF('入力'!N41="○","○",IF('入力'!N41="－","－","？")))</f>
        <v/>
      </c>
      <c r="N41" s="11">
        <f>IF($A41="","",IF('入力'!O41="○","○",IF('入力'!O41="－","－","？")))</f>
        <v/>
      </c>
      <c r="O41" s="11">
        <f>IF($A41="","",IF('入力'!P41="○","○",IF('入力'!P41="－","－","？")))</f>
        <v/>
      </c>
      <c r="P41" s="11">
        <f>IF($A41="","",IF('入力'!Q41="○","○",IF('入力'!Q41="－","－","？")))</f>
        <v/>
      </c>
      <c r="Q41" s="11">
        <f>IF($A41="","",IF('入力'!R41="○","○",IF('入力'!R41="－","－","？")))</f>
        <v/>
      </c>
      <c r="R41" s="11">
        <f>IF($A41="","",IF('入力'!S41="○","○",IF('入力'!S41="－","－","？")))</f>
        <v/>
      </c>
      <c r="S41" s="11">
        <f>IF($A41="","",IF('入力'!T41="○","○",IF('入力'!T41="－","－","？")))</f>
        <v/>
      </c>
      <c r="T41" s="11">
        <f>IF($A41="","",IF('入力'!U41="○","○",IF('入力'!U41="－","－","？")))</f>
        <v/>
      </c>
      <c r="U41" s="11">
        <f>IF($A41="","",IF('入力'!V41="○","○",IF('入力'!V41="－","－","？")))</f>
        <v/>
      </c>
      <c r="V41" s="11">
        <f>IF($A41="","",IF('入力'!W41="○","○",IF('入力'!W41="－","－","？")))</f>
        <v/>
      </c>
      <c r="W41" s="11">
        <f>IF($A41="","",IF('入力'!X41="○","○",IF('入力'!X41="－","－","？")))</f>
        <v/>
      </c>
      <c r="X41" s="11">
        <f>IF($A41="","",IF('入力'!Y41="○","○",IF('入力'!Y41="－","－","？")))</f>
        <v/>
      </c>
      <c r="Y41" s="11">
        <f>IF($A41="","",IF('入力'!Z41="○","○",IF('入力'!Z41="－","－","？")))</f>
        <v/>
      </c>
      <c r="Z41" s="11">
        <f>IF($A41="","",IF('入力'!AA41="○","○",IF('入力'!AA41="－","－","？")))</f>
        <v/>
      </c>
      <c r="AA41" s="11">
        <f>IF($A41="","",IF('入力'!AB41="○","○",IF('入力'!AB41="－","－","？")))</f>
        <v/>
      </c>
      <c r="AB41" s="11">
        <f>IF($A41="","",IF('入力'!AC41="○","○",IF('入力'!AC41="－","－","？")))</f>
        <v/>
      </c>
      <c r="AC41" s="11">
        <f>IF($A41="","",IF('入力'!AD41="○","○",IF('入力'!AD41="－","－","？")))</f>
        <v/>
      </c>
      <c r="AD41" s="11">
        <f>IF($A41="","",IF('入力'!AE41="○","○",IF('入力'!AE41="－","－","？")))</f>
        <v/>
      </c>
      <c r="AE41" s="31">
        <f>IF(OR($A41="",ISBLANK('入力'!AF41)),"",'入力'!AF41)</f>
        <v/>
      </c>
      <c r="AF41" s="22">
        <f>IF($A41="","",IF(OR('入力'!AI41="未確認あり",'入力'!AI41="入力値エラー"),"※未確認あり。","")&amp;'入力'!AH41)</f>
        <v/>
      </c>
    </row>
    <row r="42" ht="28" customHeight="1">
      <c r="A42" s="22">
        <f>IF(ISBLANK('入力'!$B42),"",'入力'!$B42)</f>
        <v/>
      </c>
      <c r="B42" s="11">
        <f>IF($A42="","",IF('入力'!C42="○","○",IF('入力'!C42="－","－","？")))</f>
        <v/>
      </c>
      <c r="C42" s="11">
        <f>IF($A42="","",IF('入力'!D42="○","○",IF('入力'!D42="－","－","？")))</f>
        <v/>
      </c>
      <c r="D42" s="11">
        <f>IF($A42="","",IF('入力'!E42="○","○",IF('入力'!E42="－","－","？")))</f>
        <v/>
      </c>
      <c r="E42" s="11">
        <f>IF($A42="","",IF('入力'!F42="○","○",IF('入力'!F42="－","－","？")))</f>
        <v/>
      </c>
      <c r="F42" s="11">
        <f>IF($A42="","",IF('入力'!G42="○","○",IF('入力'!G42="－","－","？")))</f>
        <v/>
      </c>
      <c r="G42" s="11">
        <f>IF($A42="","",IF('入力'!H42="○","○",IF('入力'!H42="－","－","？")))</f>
        <v/>
      </c>
      <c r="H42" s="11">
        <f>IF($A42="","",IF('入力'!I42="○","○",IF('入力'!I42="－","－","？")))</f>
        <v/>
      </c>
      <c r="I42" s="11">
        <f>IF($A42="","",IF('入力'!J42="○","○",IF('入力'!J42="－","－","？")))</f>
        <v/>
      </c>
      <c r="J42" s="23">
        <f>IF($A42="","",IF('入力'!K42="○","○",IF('入力'!K42="－","－","？")))</f>
        <v/>
      </c>
      <c r="K42" s="11">
        <f>IF($A42="","",IF('入力'!L42="○","○",IF('入力'!L42="－","－","？")))</f>
        <v/>
      </c>
      <c r="L42" s="11">
        <f>IF($A42="","",IF('入力'!M42="○","○",IF('入力'!M42="－","－","？")))</f>
        <v/>
      </c>
      <c r="M42" s="11">
        <f>IF($A42="","",IF('入力'!N42="○","○",IF('入力'!N42="－","－","？")))</f>
        <v/>
      </c>
      <c r="N42" s="11">
        <f>IF($A42="","",IF('入力'!O42="○","○",IF('入力'!O42="－","－","？")))</f>
        <v/>
      </c>
      <c r="O42" s="11">
        <f>IF($A42="","",IF('入力'!P42="○","○",IF('入力'!P42="－","－","？")))</f>
        <v/>
      </c>
      <c r="P42" s="11">
        <f>IF($A42="","",IF('入力'!Q42="○","○",IF('入力'!Q42="－","－","？")))</f>
        <v/>
      </c>
      <c r="Q42" s="11">
        <f>IF($A42="","",IF('入力'!R42="○","○",IF('入力'!R42="－","－","？")))</f>
        <v/>
      </c>
      <c r="R42" s="11">
        <f>IF($A42="","",IF('入力'!S42="○","○",IF('入力'!S42="－","－","？")))</f>
        <v/>
      </c>
      <c r="S42" s="11">
        <f>IF($A42="","",IF('入力'!T42="○","○",IF('入力'!T42="－","－","？")))</f>
        <v/>
      </c>
      <c r="T42" s="11">
        <f>IF($A42="","",IF('入力'!U42="○","○",IF('入力'!U42="－","－","？")))</f>
        <v/>
      </c>
      <c r="U42" s="11">
        <f>IF($A42="","",IF('入力'!V42="○","○",IF('入力'!V42="－","－","？")))</f>
        <v/>
      </c>
      <c r="V42" s="11">
        <f>IF($A42="","",IF('入力'!W42="○","○",IF('入力'!W42="－","－","？")))</f>
        <v/>
      </c>
      <c r="W42" s="11">
        <f>IF($A42="","",IF('入力'!X42="○","○",IF('入力'!X42="－","－","？")))</f>
        <v/>
      </c>
      <c r="X42" s="11">
        <f>IF($A42="","",IF('入力'!Y42="○","○",IF('入力'!Y42="－","－","？")))</f>
        <v/>
      </c>
      <c r="Y42" s="11">
        <f>IF($A42="","",IF('入力'!Z42="○","○",IF('入力'!Z42="－","－","？")))</f>
        <v/>
      </c>
      <c r="Z42" s="11">
        <f>IF($A42="","",IF('入力'!AA42="○","○",IF('入力'!AA42="－","－","？")))</f>
        <v/>
      </c>
      <c r="AA42" s="11">
        <f>IF($A42="","",IF('入力'!AB42="○","○",IF('入力'!AB42="－","－","？")))</f>
        <v/>
      </c>
      <c r="AB42" s="11">
        <f>IF($A42="","",IF('入力'!AC42="○","○",IF('入力'!AC42="－","－","？")))</f>
        <v/>
      </c>
      <c r="AC42" s="11">
        <f>IF($A42="","",IF('入力'!AD42="○","○",IF('入力'!AD42="－","－","？")))</f>
        <v/>
      </c>
      <c r="AD42" s="11">
        <f>IF($A42="","",IF('入力'!AE42="○","○",IF('入力'!AE42="－","－","？")))</f>
        <v/>
      </c>
      <c r="AE42" s="31">
        <f>IF(OR($A42="",ISBLANK('入力'!AF42)),"",'入力'!AF42)</f>
        <v/>
      </c>
      <c r="AF42" s="22">
        <f>IF($A42="","",IF(OR('入力'!AI42="未確認あり",'入力'!AI42="入力値エラー"),"※未確認あり。","")&amp;'入力'!AH42)</f>
        <v/>
      </c>
    </row>
    <row r="43" ht="28" customHeight="1">
      <c r="A43" s="22">
        <f>IF(ISBLANK('入力'!$B43),"",'入力'!$B43)</f>
        <v/>
      </c>
      <c r="B43" s="11">
        <f>IF($A43="","",IF('入力'!C43="○","○",IF('入力'!C43="－","－","？")))</f>
        <v/>
      </c>
      <c r="C43" s="11">
        <f>IF($A43="","",IF('入力'!D43="○","○",IF('入力'!D43="－","－","？")))</f>
        <v/>
      </c>
      <c r="D43" s="11">
        <f>IF($A43="","",IF('入力'!E43="○","○",IF('入力'!E43="－","－","？")))</f>
        <v/>
      </c>
      <c r="E43" s="11">
        <f>IF($A43="","",IF('入力'!F43="○","○",IF('入力'!F43="－","－","？")))</f>
        <v/>
      </c>
      <c r="F43" s="11">
        <f>IF($A43="","",IF('入力'!G43="○","○",IF('入力'!G43="－","－","？")))</f>
        <v/>
      </c>
      <c r="G43" s="11">
        <f>IF($A43="","",IF('入力'!H43="○","○",IF('入力'!H43="－","－","？")))</f>
        <v/>
      </c>
      <c r="H43" s="11">
        <f>IF($A43="","",IF('入力'!I43="○","○",IF('入力'!I43="－","－","？")))</f>
        <v/>
      </c>
      <c r="I43" s="11">
        <f>IF($A43="","",IF('入力'!J43="○","○",IF('入力'!J43="－","－","？")))</f>
        <v/>
      </c>
      <c r="J43" s="23">
        <f>IF($A43="","",IF('入力'!K43="○","○",IF('入力'!K43="－","－","？")))</f>
        <v/>
      </c>
      <c r="K43" s="11">
        <f>IF($A43="","",IF('入力'!L43="○","○",IF('入力'!L43="－","－","？")))</f>
        <v/>
      </c>
      <c r="L43" s="11">
        <f>IF($A43="","",IF('入力'!M43="○","○",IF('入力'!M43="－","－","？")))</f>
        <v/>
      </c>
      <c r="M43" s="11">
        <f>IF($A43="","",IF('入力'!N43="○","○",IF('入力'!N43="－","－","？")))</f>
        <v/>
      </c>
      <c r="N43" s="11">
        <f>IF($A43="","",IF('入力'!O43="○","○",IF('入力'!O43="－","－","？")))</f>
        <v/>
      </c>
      <c r="O43" s="11">
        <f>IF($A43="","",IF('入力'!P43="○","○",IF('入力'!P43="－","－","？")))</f>
        <v/>
      </c>
      <c r="P43" s="11">
        <f>IF($A43="","",IF('入力'!Q43="○","○",IF('入力'!Q43="－","－","？")))</f>
        <v/>
      </c>
      <c r="Q43" s="11">
        <f>IF($A43="","",IF('入力'!R43="○","○",IF('入力'!R43="－","－","？")))</f>
        <v/>
      </c>
      <c r="R43" s="11">
        <f>IF($A43="","",IF('入力'!S43="○","○",IF('入力'!S43="－","－","？")))</f>
        <v/>
      </c>
      <c r="S43" s="11">
        <f>IF($A43="","",IF('入力'!T43="○","○",IF('入力'!T43="－","－","？")))</f>
        <v/>
      </c>
      <c r="T43" s="11">
        <f>IF($A43="","",IF('入力'!U43="○","○",IF('入力'!U43="－","－","？")))</f>
        <v/>
      </c>
      <c r="U43" s="11">
        <f>IF($A43="","",IF('入力'!V43="○","○",IF('入力'!V43="－","－","？")))</f>
        <v/>
      </c>
      <c r="V43" s="11">
        <f>IF($A43="","",IF('入力'!W43="○","○",IF('入力'!W43="－","－","？")))</f>
        <v/>
      </c>
      <c r="W43" s="11">
        <f>IF($A43="","",IF('入力'!X43="○","○",IF('入力'!X43="－","－","？")))</f>
        <v/>
      </c>
      <c r="X43" s="11">
        <f>IF($A43="","",IF('入力'!Y43="○","○",IF('入力'!Y43="－","－","？")))</f>
        <v/>
      </c>
      <c r="Y43" s="11">
        <f>IF($A43="","",IF('入力'!Z43="○","○",IF('入力'!Z43="－","－","？")))</f>
        <v/>
      </c>
      <c r="Z43" s="11">
        <f>IF($A43="","",IF('入力'!AA43="○","○",IF('入力'!AA43="－","－","？")))</f>
        <v/>
      </c>
      <c r="AA43" s="11">
        <f>IF($A43="","",IF('入力'!AB43="○","○",IF('入力'!AB43="－","－","？")))</f>
        <v/>
      </c>
      <c r="AB43" s="11">
        <f>IF($A43="","",IF('入力'!AC43="○","○",IF('入力'!AC43="－","－","？")))</f>
        <v/>
      </c>
      <c r="AC43" s="11">
        <f>IF($A43="","",IF('入力'!AD43="○","○",IF('入力'!AD43="－","－","？")))</f>
        <v/>
      </c>
      <c r="AD43" s="11">
        <f>IF($A43="","",IF('入力'!AE43="○","○",IF('入力'!AE43="－","－","？")))</f>
        <v/>
      </c>
      <c r="AE43" s="31">
        <f>IF(OR($A43="",ISBLANK('入力'!AF43)),"",'入力'!AF43)</f>
        <v/>
      </c>
      <c r="AF43" s="22">
        <f>IF($A43="","",IF(OR('入力'!AI43="未確認あり",'入力'!AI43="入力値エラー"),"※未確認あり。","")&amp;'入力'!AH43)</f>
        <v/>
      </c>
    </row>
    <row r="44" ht="28" customHeight="1">
      <c r="A44" s="22">
        <f>IF(ISBLANK('入力'!$B44),"",'入力'!$B44)</f>
        <v/>
      </c>
      <c r="B44" s="11">
        <f>IF($A44="","",IF('入力'!C44="○","○",IF('入力'!C44="－","－","？")))</f>
        <v/>
      </c>
      <c r="C44" s="11">
        <f>IF($A44="","",IF('入力'!D44="○","○",IF('入力'!D44="－","－","？")))</f>
        <v/>
      </c>
      <c r="D44" s="11">
        <f>IF($A44="","",IF('入力'!E44="○","○",IF('入力'!E44="－","－","？")))</f>
        <v/>
      </c>
      <c r="E44" s="11">
        <f>IF($A44="","",IF('入力'!F44="○","○",IF('入力'!F44="－","－","？")))</f>
        <v/>
      </c>
      <c r="F44" s="11">
        <f>IF($A44="","",IF('入力'!G44="○","○",IF('入力'!G44="－","－","？")))</f>
        <v/>
      </c>
      <c r="G44" s="11">
        <f>IF($A44="","",IF('入力'!H44="○","○",IF('入力'!H44="－","－","？")))</f>
        <v/>
      </c>
      <c r="H44" s="11">
        <f>IF($A44="","",IF('入力'!I44="○","○",IF('入力'!I44="－","－","？")))</f>
        <v/>
      </c>
      <c r="I44" s="11">
        <f>IF($A44="","",IF('入力'!J44="○","○",IF('入力'!J44="－","－","？")))</f>
        <v/>
      </c>
      <c r="J44" s="23">
        <f>IF($A44="","",IF('入力'!K44="○","○",IF('入力'!K44="－","－","？")))</f>
        <v/>
      </c>
      <c r="K44" s="11">
        <f>IF($A44="","",IF('入力'!L44="○","○",IF('入力'!L44="－","－","？")))</f>
        <v/>
      </c>
      <c r="L44" s="11">
        <f>IF($A44="","",IF('入力'!M44="○","○",IF('入力'!M44="－","－","？")))</f>
        <v/>
      </c>
      <c r="M44" s="11">
        <f>IF($A44="","",IF('入力'!N44="○","○",IF('入力'!N44="－","－","？")))</f>
        <v/>
      </c>
      <c r="N44" s="11">
        <f>IF($A44="","",IF('入力'!O44="○","○",IF('入力'!O44="－","－","？")))</f>
        <v/>
      </c>
      <c r="O44" s="11">
        <f>IF($A44="","",IF('入力'!P44="○","○",IF('入力'!P44="－","－","？")))</f>
        <v/>
      </c>
      <c r="P44" s="11">
        <f>IF($A44="","",IF('入力'!Q44="○","○",IF('入力'!Q44="－","－","？")))</f>
        <v/>
      </c>
      <c r="Q44" s="11">
        <f>IF($A44="","",IF('入力'!R44="○","○",IF('入力'!R44="－","－","？")))</f>
        <v/>
      </c>
      <c r="R44" s="11">
        <f>IF($A44="","",IF('入力'!S44="○","○",IF('入力'!S44="－","－","？")))</f>
        <v/>
      </c>
      <c r="S44" s="11">
        <f>IF($A44="","",IF('入力'!T44="○","○",IF('入力'!T44="－","－","？")))</f>
        <v/>
      </c>
      <c r="T44" s="11">
        <f>IF($A44="","",IF('入力'!U44="○","○",IF('入力'!U44="－","－","？")))</f>
        <v/>
      </c>
      <c r="U44" s="11">
        <f>IF($A44="","",IF('入力'!V44="○","○",IF('入力'!V44="－","－","？")))</f>
        <v/>
      </c>
      <c r="V44" s="11">
        <f>IF($A44="","",IF('入力'!W44="○","○",IF('入力'!W44="－","－","？")))</f>
        <v/>
      </c>
      <c r="W44" s="11">
        <f>IF($A44="","",IF('入力'!X44="○","○",IF('入力'!X44="－","－","？")))</f>
        <v/>
      </c>
      <c r="X44" s="11">
        <f>IF($A44="","",IF('入力'!Y44="○","○",IF('入力'!Y44="－","－","？")))</f>
        <v/>
      </c>
      <c r="Y44" s="11">
        <f>IF($A44="","",IF('入力'!Z44="○","○",IF('入力'!Z44="－","－","？")))</f>
        <v/>
      </c>
      <c r="Z44" s="11">
        <f>IF($A44="","",IF('入力'!AA44="○","○",IF('入力'!AA44="－","－","？")))</f>
        <v/>
      </c>
      <c r="AA44" s="11">
        <f>IF($A44="","",IF('入力'!AB44="○","○",IF('入力'!AB44="－","－","？")))</f>
        <v/>
      </c>
      <c r="AB44" s="11">
        <f>IF($A44="","",IF('入力'!AC44="○","○",IF('入力'!AC44="－","－","？")))</f>
        <v/>
      </c>
      <c r="AC44" s="11">
        <f>IF($A44="","",IF('入力'!AD44="○","○",IF('入力'!AD44="－","－","？")))</f>
        <v/>
      </c>
      <c r="AD44" s="11">
        <f>IF($A44="","",IF('入力'!AE44="○","○",IF('入力'!AE44="－","－","？")))</f>
        <v/>
      </c>
      <c r="AE44" s="31">
        <f>IF(OR($A44="",ISBLANK('入力'!AF44)),"",'入力'!AF44)</f>
        <v/>
      </c>
      <c r="AF44" s="22">
        <f>IF($A44="","",IF(OR('入力'!AI44="未確認あり",'入力'!AI44="入力値エラー"),"※未確認あり。","")&amp;'入力'!AH44)</f>
        <v/>
      </c>
    </row>
    <row r="45" ht="28" customHeight="1">
      <c r="A45" s="22">
        <f>IF(ISBLANK('入力'!$B45),"",'入力'!$B45)</f>
        <v/>
      </c>
      <c r="B45" s="11">
        <f>IF($A45="","",IF('入力'!C45="○","○",IF('入力'!C45="－","－","？")))</f>
        <v/>
      </c>
      <c r="C45" s="11">
        <f>IF($A45="","",IF('入力'!D45="○","○",IF('入力'!D45="－","－","？")))</f>
        <v/>
      </c>
      <c r="D45" s="11">
        <f>IF($A45="","",IF('入力'!E45="○","○",IF('入力'!E45="－","－","？")))</f>
        <v/>
      </c>
      <c r="E45" s="11">
        <f>IF($A45="","",IF('入力'!F45="○","○",IF('入力'!F45="－","－","？")))</f>
        <v/>
      </c>
      <c r="F45" s="11">
        <f>IF($A45="","",IF('入力'!G45="○","○",IF('入力'!G45="－","－","？")))</f>
        <v/>
      </c>
      <c r="G45" s="11">
        <f>IF($A45="","",IF('入力'!H45="○","○",IF('入力'!H45="－","－","？")))</f>
        <v/>
      </c>
      <c r="H45" s="11">
        <f>IF($A45="","",IF('入力'!I45="○","○",IF('入力'!I45="－","－","？")))</f>
        <v/>
      </c>
      <c r="I45" s="11">
        <f>IF($A45="","",IF('入力'!J45="○","○",IF('入力'!J45="－","－","？")))</f>
        <v/>
      </c>
      <c r="J45" s="23">
        <f>IF($A45="","",IF('入力'!K45="○","○",IF('入力'!K45="－","－","？")))</f>
        <v/>
      </c>
      <c r="K45" s="11">
        <f>IF($A45="","",IF('入力'!L45="○","○",IF('入力'!L45="－","－","？")))</f>
        <v/>
      </c>
      <c r="L45" s="11">
        <f>IF($A45="","",IF('入力'!M45="○","○",IF('入力'!M45="－","－","？")))</f>
        <v/>
      </c>
      <c r="M45" s="11">
        <f>IF($A45="","",IF('入力'!N45="○","○",IF('入力'!N45="－","－","？")))</f>
        <v/>
      </c>
      <c r="N45" s="11">
        <f>IF($A45="","",IF('入力'!O45="○","○",IF('入力'!O45="－","－","？")))</f>
        <v/>
      </c>
      <c r="O45" s="11">
        <f>IF($A45="","",IF('入力'!P45="○","○",IF('入力'!P45="－","－","？")))</f>
        <v/>
      </c>
      <c r="P45" s="11">
        <f>IF($A45="","",IF('入力'!Q45="○","○",IF('入力'!Q45="－","－","？")))</f>
        <v/>
      </c>
      <c r="Q45" s="11">
        <f>IF($A45="","",IF('入力'!R45="○","○",IF('入力'!R45="－","－","？")))</f>
        <v/>
      </c>
      <c r="R45" s="11">
        <f>IF($A45="","",IF('入力'!S45="○","○",IF('入力'!S45="－","－","？")))</f>
        <v/>
      </c>
      <c r="S45" s="11">
        <f>IF($A45="","",IF('入力'!T45="○","○",IF('入力'!T45="－","－","？")))</f>
        <v/>
      </c>
      <c r="T45" s="11">
        <f>IF($A45="","",IF('入力'!U45="○","○",IF('入力'!U45="－","－","？")))</f>
        <v/>
      </c>
      <c r="U45" s="11">
        <f>IF($A45="","",IF('入力'!V45="○","○",IF('入力'!V45="－","－","？")))</f>
        <v/>
      </c>
      <c r="V45" s="11">
        <f>IF($A45="","",IF('入力'!W45="○","○",IF('入力'!W45="－","－","？")))</f>
        <v/>
      </c>
      <c r="W45" s="11">
        <f>IF($A45="","",IF('入力'!X45="○","○",IF('入力'!X45="－","－","？")))</f>
        <v/>
      </c>
      <c r="X45" s="11">
        <f>IF($A45="","",IF('入力'!Y45="○","○",IF('入力'!Y45="－","－","？")))</f>
        <v/>
      </c>
      <c r="Y45" s="11">
        <f>IF($A45="","",IF('入力'!Z45="○","○",IF('入力'!Z45="－","－","？")))</f>
        <v/>
      </c>
      <c r="Z45" s="11">
        <f>IF($A45="","",IF('入力'!AA45="○","○",IF('入力'!AA45="－","－","？")))</f>
        <v/>
      </c>
      <c r="AA45" s="11">
        <f>IF($A45="","",IF('入力'!AB45="○","○",IF('入力'!AB45="－","－","？")))</f>
        <v/>
      </c>
      <c r="AB45" s="11">
        <f>IF($A45="","",IF('入力'!AC45="○","○",IF('入力'!AC45="－","－","？")))</f>
        <v/>
      </c>
      <c r="AC45" s="11">
        <f>IF($A45="","",IF('入力'!AD45="○","○",IF('入力'!AD45="－","－","？")))</f>
        <v/>
      </c>
      <c r="AD45" s="11">
        <f>IF($A45="","",IF('入力'!AE45="○","○",IF('入力'!AE45="－","－","？")))</f>
        <v/>
      </c>
      <c r="AE45" s="31">
        <f>IF(OR($A45="",ISBLANK('入力'!AF45)),"",'入力'!AF45)</f>
        <v/>
      </c>
      <c r="AF45" s="22">
        <f>IF($A45="","",IF(OR('入力'!AI45="未確認あり",'入力'!AI45="入力値エラー"),"※未確認あり。","")&amp;'入力'!AH45)</f>
        <v/>
      </c>
    </row>
    <row r="46" ht="28" customHeight="1">
      <c r="A46" s="22">
        <f>IF(ISBLANK('入力'!$B46),"",'入力'!$B46)</f>
        <v/>
      </c>
      <c r="B46" s="11">
        <f>IF($A46="","",IF('入力'!C46="○","○",IF('入力'!C46="－","－","？")))</f>
        <v/>
      </c>
      <c r="C46" s="11">
        <f>IF($A46="","",IF('入力'!D46="○","○",IF('入力'!D46="－","－","？")))</f>
        <v/>
      </c>
      <c r="D46" s="11">
        <f>IF($A46="","",IF('入力'!E46="○","○",IF('入力'!E46="－","－","？")))</f>
        <v/>
      </c>
      <c r="E46" s="11">
        <f>IF($A46="","",IF('入力'!F46="○","○",IF('入力'!F46="－","－","？")))</f>
        <v/>
      </c>
      <c r="F46" s="11">
        <f>IF($A46="","",IF('入力'!G46="○","○",IF('入力'!G46="－","－","？")))</f>
        <v/>
      </c>
      <c r="G46" s="11">
        <f>IF($A46="","",IF('入力'!H46="○","○",IF('入力'!H46="－","－","？")))</f>
        <v/>
      </c>
      <c r="H46" s="11">
        <f>IF($A46="","",IF('入力'!I46="○","○",IF('入力'!I46="－","－","？")))</f>
        <v/>
      </c>
      <c r="I46" s="11">
        <f>IF($A46="","",IF('入力'!J46="○","○",IF('入力'!J46="－","－","？")))</f>
        <v/>
      </c>
      <c r="J46" s="23">
        <f>IF($A46="","",IF('入力'!K46="○","○",IF('入力'!K46="－","－","？")))</f>
        <v/>
      </c>
      <c r="K46" s="11">
        <f>IF($A46="","",IF('入力'!L46="○","○",IF('入力'!L46="－","－","？")))</f>
        <v/>
      </c>
      <c r="L46" s="11">
        <f>IF($A46="","",IF('入力'!M46="○","○",IF('入力'!M46="－","－","？")))</f>
        <v/>
      </c>
      <c r="M46" s="11">
        <f>IF($A46="","",IF('入力'!N46="○","○",IF('入力'!N46="－","－","？")))</f>
        <v/>
      </c>
      <c r="N46" s="11">
        <f>IF($A46="","",IF('入力'!O46="○","○",IF('入力'!O46="－","－","？")))</f>
        <v/>
      </c>
      <c r="O46" s="11">
        <f>IF($A46="","",IF('入力'!P46="○","○",IF('入力'!P46="－","－","？")))</f>
        <v/>
      </c>
      <c r="P46" s="11">
        <f>IF($A46="","",IF('入力'!Q46="○","○",IF('入力'!Q46="－","－","？")))</f>
        <v/>
      </c>
      <c r="Q46" s="11">
        <f>IF($A46="","",IF('入力'!R46="○","○",IF('入力'!R46="－","－","？")))</f>
        <v/>
      </c>
      <c r="R46" s="11">
        <f>IF($A46="","",IF('入力'!S46="○","○",IF('入力'!S46="－","－","？")))</f>
        <v/>
      </c>
      <c r="S46" s="11">
        <f>IF($A46="","",IF('入力'!T46="○","○",IF('入力'!T46="－","－","？")))</f>
        <v/>
      </c>
      <c r="T46" s="11">
        <f>IF($A46="","",IF('入力'!U46="○","○",IF('入力'!U46="－","－","？")))</f>
        <v/>
      </c>
      <c r="U46" s="11">
        <f>IF($A46="","",IF('入力'!V46="○","○",IF('入力'!V46="－","－","？")))</f>
        <v/>
      </c>
      <c r="V46" s="11">
        <f>IF($A46="","",IF('入力'!W46="○","○",IF('入力'!W46="－","－","？")))</f>
        <v/>
      </c>
      <c r="W46" s="11">
        <f>IF($A46="","",IF('入力'!X46="○","○",IF('入力'!X46="－","－","？")))</f>
        <v/>
      </c>
      <c r="X46" s="11">
        <f>IF($A46="","",IF('入力'!Y46="○","○",IF('入力'!Y46="－","－","？")))</f>
        <v/>
      </c>
      <c r="Y46" s="11">
        <f>IF($A46="","",IF('入力'!Z46="○","○",IF('入力'!Z46="－","－","？")))</f>
        <v/>
      </c>
      <c r="Z46" s="11">
        <f>IF($A46="","",IF('入力'!AA46="○","○",IF('入力'!AA46="－","－","？")))</f>
        <v/>
      </c>
      <c r="AA46" s="11">
        <f>IF($A46="","",IF('入力'!AB46="○","○",IF('入力'!AB46="－","－","？")))</f>
        <v/>
      </c>
      <c r="AB46" s="11">
        <f>IF($A46="","",IF('入力'!AC46="○","○",IF('入力'!AC46="－","－","？")))</f>
        <v/>
      </c>
      <c r="AC46" s="11">
        <f>IF($A46="","",IF('入力'!AD46="○","○",IF('入力'!AD46="－","－","？")))</f>
        <v/>
      </c>
      <c r="AD46" s="11">
        <f>IF($A46="","",IF('入力'!AE46="○","○",IF('入力'!AE46="－","－","？")))</f>
        <v/>
      </c>
      <c r="AE46" s="31">
        <f>IF(OR($A46="",ISBLANK('入力'!AF46)),"",'入力'!AF46)</f>
        <v/>
      </c>
      <c r="AF46" s="22">
        <f>IF($A46="","",IF(OR('入力'!AI46="未確認あり",'入力'!AI46="入力値エラー"),"※未確認あり。","")&amp;'入力'!AH46)</f>
        <v/>
      </c>
    </row>
    <row r="47" ht="28" customHeight="1">
      <c r="A47" s="22">
        <f>IF(ISBLANK('入力'!$B47),"",'入力'!$B47)</f>
        <v/>
      </c>
      <c r="B47" s="11">
        <f>IF($A47="","",IF('入力'!C47="○","○",IF('入力'!C47="－","－","？")))</f>
        <v/>
      </c>
      <c r="C47" s="11">
        <f>IF($A47="","",IF('入力'!D47="○","○",IF('入力'!D47="－","－","？")))</f>
        <v/>
      </c>
      <c r="D47" s="11">
        <f>IF($A47="","",IF('入力'!E47="○","○",IF('入力'!E47="－","－","？")))</f>
        <v/>
      </c>
      <c r="E47" s="11">
        <f>IF($A47="","",IF('入力'!F47="○","○",IF('入力'!F47="－","－","？")))</f>
        <v/>
      </c>
      <c r="F47" s="11">
        <f>IF($A47="","",IF('入力'!G47="○","○",IF('入力'!G47="－","－","？")))</f>
        <v/>
      </c>
      <c r="G47" s="11">
        <f>IF($A47="","",IF('入力'!H47="○","○",IF('入力'!H47="－","－","？")))</f>
        <v/>
      </c>
      <c r="H47" s="11">
        <f>IF($A47="","",IF('入力'!I47="○","○",IF('入力'!I47="－","－","？")))</f>
        <v/>
      </c>
      <c r="I47" s="11">
        <f>IF($A47="","",IF('入力'!J47="○","○",IF('入力'!J47="－","－","？")))</f>
        <v/>
      </c>
      <c r="J47" s="23">
        <f>IF($A47="","",IF('入力'!K47="○","○",IF('入力'!K47="－","－","？")))</f>
        <v/>
      </c>
      <c r="K47" s="11">
        <f>IF($A47="","",IF('入力'!L47="○","○",IF('入力'!L47="－","－","？")))</f>
        <v/>
      </c>
      <c r="L47" s="11">
        <f>IF($A47="","",IF('入力'!M47="○","○",IF('入力'!M47="－","－","？")))</f>
        <v/>
      </c>
      <c r="M47" s="11">
        <f>IF($A47="","",IF('入力'!N47="○","○",IF('入力'!N47="－","－","？")))</f>
        <v/>
      </c>
      <c r="N47" s="11">
        <f>IF($A47="","",IF('入力'!O47="○","○",IF('入力'!O47="－","－","？")))</f>
        <v/>
      </c>
      <c r="O47" s="11">
        <f>IF($A47="","",IF('入力'!P47="○","○",IF('入力'!P47="－","－","？")))</f>
        <v/>
      </c>
      <c r="P47" s="11">
        <f>IF($A47="","",IF('入力'!Q47="○","○",IF('入力'!Q47="－","－","？")))</f>
        <v/>
      </c>
      <c r="Q47" s="11">
        <f>IF($A47="","",IF('入力'!R47="○","○",IF('入力'!R47="－","－","？")))</f>
        <v/>
      </c>
      <c r="R47" s="11">
        <f>IF($A47="","",IF('入力'!S47="○","○",IF('入力'!S47="－","－","？")))</f>
        <v/>
      </c>
      <c r="S47" s="11">
        <f>IF($A47="","",IF('入力'!T47="○","○",IF('入力'!T47="－","－","？")))</f>
        <v/>
      </c>
      <c r="T47" s="11">
        <f>IF($A47="","",IF('入力'!U47="○","○",IF('入力'!U47="－","－","？")))</f>
        <v/>
      </c>
      <c r="U47" s="11">
        <f>IF($A47="","",IF('入力'!V47="○","○",IF('入力'!V47="－","－","？")))</f>
        <v/>
      </c>
      <c r="V47" s="11">
        <f>IF($A47="","",IF('入力'!W47="○","○",IF('入力'!W47="－","－","？")))</f>
        <v/>
      </c>
      <c r="W47" s="11">
        <f>IF($A47="","",IF('入力'!X47="○","○",IF('入力'!X47="－","－","？")))</f>
        <v/>
      </c>
      <c r="X47" s="11">
        <f>IF($A47="","",IF('入力'!Y47="○","○",IF('入力'!Y47="－","－","？")))</f>
        <v/>
      </c>
      <c r="Y47" s="11">
        <f>IF($A47="","",IF('入力'!Z47="○","○",IF('入力'!Z47="－","－","？")))</f>
        <v/>
      </c>
      <c r="Z47" s="11">
        <f>IF($A47="","",IF('入力'!AA47="○","○",IF('入力'!AA47="－","－","？")))</f>
        <v/>
      </c>
      <c r="AA47" s="11">
        <f>IF($A47="","",IF('入力'!AB47="○","○",IF('入力'!AB47="－","－","？")))</f>
        <v/>
      </c>
      <c r="AB47" s="11">
        <f>IF($A47="","",IF('入力'!AC47="○","○",IF('入力'!AC47="－","－","？")))</f>
        <v/>
      </c>
      <c r="AC47" s="11">
        <f>IF($A47="","",IF('入力'!AD47="○","○",IF('入力'!AD47="－","－","？")))</f>
        <v/>
      </c>
      <c r="AD47" s="11">
        <f>IF($A47="","",IF('入力'!AE47="○","○",IF('入力'!AE47="－","－","？")))</f>
        <v/>
      </c>
      <c r="AE47" s="31">
        <f>IF(OR($A47="",ISBLANK('入力'!AF47)),"",'入力'!AF47)</f>
        <v/>
      </c>
      <c r="AF47" s="22">
        <f>IF($A47="","",IF(OR('入力'!AI47="未確認あり",'入力'!AI47="入力値エラー"),"※未確認あり。","")&amp;'入力'!AH47)</f>
        <v/>
      </c>
    </row>
    <row r="48" ht="28" customHeight="1">
      <c r="A48" s="22">
        <f>IF(ISBLANK('入力'!$B48),"",'入力'!$B48)</f>
        <v/>
      </c>
      <c r="B48" s="11">
        <f>IF($A48="","",IF('入力'!C48="○","○",IF('入力'!C48="－","－","？")))</f>
        <v/>
      </c>
      <c r="C48" s="11">
        <f>IF($A48="","",IF('入力'!D48="○","○",IF('入力'!D48="－","－","？")))</f>
        <v/>
      </c>
      <c r="D48" s="11">
        <f>IF($A48="","",IF('入力'!E48="○","○",IF('入力'!E48="－","－","？")))</f>
        <v/>
      </c>
      <c r="E48" s="11">
        <f>IF($A48="","",IF('入力'!F48="○","○",IF('入力'!F48="－","－","？")))</f>
        <v/>
      </c>
      <c r="F48" s="11">
        <f>IF($A48="","",IF('入力'!G48="○","○",IF('入力'!G48="－","－","？")))</f>
        <v/>
      </c>
      <c r="G48" s="11">
        <f>IF($A48="","",IF('入力'!H48="○","○",IF('入力'!H48="－","－","？")))</f>
        <v/>
      </c>
      <c r="H48" s="11">
        <f>IF($A48="","",IF('入力'!I48="○","○",IF('入力'!I48="－","－","？")))</f>
        <v/>
      </c>
      <c r="I48" s="11">
        <f>IF($A48="","",IF('入力'!J48="○","○",IF('入力'!J48="－","－","？")))</f>
        <v/>
      </c>
      <c r="J48" s="23">
        <f>IF($A48="","",IF('入力'!K48="○","○",IF('入力'!K48="－","－","？")))</f>
        <v/>
      </c>
      <c r="K48" s="11">
        <f>IF($A48="","",IF('入力'!L48="○","○",IF('入力'!L48="－","－","？")))</f>
        <v/>
      </c>
      <c r="L48" s="11">
        <f>IF($A48="","",IF('入力'!M48="○","○",IF('入力'!M48="－","－","？")))</f>
        <v/>
      </c>
      <c r="M48" s="11">
        <f>IF($A48="","",IF('入力'!N48="○","○",IF('入力'!N48="－","－","？")))</f>
        <v/>
      </c>
      <c r="N48" s="11">
        <f>IF($A48="","",IF('入力'!O48="○","○",IF('入力'!O48="－","－","？")))</f>
        <v/>
      </c>
      <c r="O48" s="11">
        <f>IF($A48="","",IF('入力'!P48="○","○",IF('入力'!P48="－","－","？")))</f>
        <v/>
      </c>
      <c r="P48" s="11">
        <f>IF($A48="","",IF('入力'!Q48="○","○",IF('入力'!Q48="－","－","？")))</f>
        <v/>
      </c>
      <c r="Q48" s="11">
        <f>IF($A48="","",IF('入力'!R48="○","○",IF('入力'!R48="－","－","？")))</f>
        <v/>
      </c>
      <c r="R48" s="11">
        <f>IF($A48="","",IF('入力'!S48="○","○",IF('入力'!S48="－","－","？")))</f>
        <v/>
      </c>
      <c r="S48" s="11">
        <f>IF($A48="","",IF('入力'!T48="○","○",IF('入力'!T48="－","－","？")))</f>
        <v/>
      </c>
      <c r="T48" s="11">
        <f>IF($A48="","",IF('入力'!U48="○","○",IF('入力'!U48="－","－","？")))</f>
        <v/>
      </c>
      <c r="U48" s="11">
        <f>IF($A48="","",IF('入力'!V48="○","○",IF('入力'!V48="－","－","？")))</f>
        <v/>
      </c>
      <c r="V48" s="11">
        <f>IF($A48="","",IF('入力'!W48="○","○",IF('入力'!W48="－","－","？")))</f>
        <v/>
      </c>
      <c r="W48" s="11">
        <f>IF($A48="","",IF('入力'!X48="○","○",IF('入力'!X48="－","－","？")))</f>
        <v/>
      </c>
      <c r="X48" s="11">
        <f>IF($A48="","",IF('入力'!Y48="○","○",IF('入力'!Y48="－","－","？")))</f>
        <v/>
      </c>
      <c r="Y48" s="11">
        <f>IF($A48="","",IF('入力'!Z48="○","○",IF('入力'!Z48="－","－","？")))</f>
        <v/>
      </c>
      <c r="Z48" s="11">
        <f>IF($A48="","",IF('入力'!AA48="○","○",IF('入力'!AA48="－","－","？")))</f>
        <v/>
      </c>
      <c r="AA48" s="11">
        <f>IF($A48="","",IF('入力'!AB48="○","○",IF('入力'!AB48="－","－","？")))</f>
        <v/>
      </c>
      <c r="AB48" s="11">
        <f>IF($A48="","",IF('入力'!AC48="○","○",IF('入力'!AC48="－","－","？")))</f>
        <v/>
      </c>
      <c r="AC48" s="11">
        <f>IF($A48="","",IF('入力'!AD48="○","○",IF('入力'!AD48="－","－","？")))</f>
        <v/>
      </c>
      <c r="AD48" s="11">
        <f>IF($A48="","",IF('入力'!AE48="○","○",IF('入力'!AE48="－","－","？")))</f>
        <v/>
      </c>
      <c r="AE48" s="31">
        <f>IF(OR($A48="",ISBLANK('入力'!AF48)),"",'入力'!AF48)</f>
        <v/>
      </c>
      <c r="AF48" s="22">
        <f>IF($A48="","",IF(OR('入力'!AI48="未確認あり",'入力'!AI48="入力値エラー"),"※未確認あり。","")&amp;'入力'!AH48)</f>
        <v/>
      </c>
    </row>
    <row r="49" ht="28" customHeight="1">
      <c r="A49" s="22">
        <f>IF(ISBLANK('入力'!$B49),"",'入力'!$B49)</f>
        <v/>
      </c>
      <c r="B49" s="11">
        <f>IF($A49="","",IF('入力'!C49="○","○",IF('入力'!C49="－","－","？")))</f>
        <v/>
      </c>
      <c r="C49" s="11">
        <f>IF($A49="","",IF('入力'!D49="○","○",IF('入力'!D49="－","－","？")))</f>
        <v/>
      </c>
      <c r="D49" s="11">
        <f>IF($A49="","",IF('入力'!E49="○","○",IF('入力'!E49="－","－","？")))</f>
        <v/>
      </c>
      <c r="E49" s="11">
        <f>IF($A49="","",IF('入力'!F49="○","○",IF('入力'!F49="－","－","？")))</f>
        <v/>
      </c>
      <c r="F49" s="11">
        <f>IF($A49="","",IF('入力'!G49="○","○",IF('入力'!G49="－","－","？")))</f>
        <v/>
      </c>
      <c r="G49" s="11">
        <f>IF($A49="","",IF('入力'!H49="○","○",IF('入力'!H49="－","－","？")))</f>
        <v/>
      </c>
      <c r="H49" s="11">
        <f>IF($A49="","",IF('入力'!I49="○","○",IF('入力'!I49="－","－","？")))</f>
        <v/>
      </c>
      <c r="I49" s="11">
        <f>IF($A49="","",IF('入力'!J49="○","○",IF('入力'!J49="－","－","？")))</f>
        <v/>
      </c>
      <c r="J49" s="23">
        <f>IF($A49="","",IF('入力'!K49="○","○",IF('入力'!K49="－","－","？")))</f>
        <v/>
      </c>
      <c r="K49" s="11">
        <f>IF($A49="","",IF('入力'!L49="○","○",IF('入力'!L49="－","－","？")))</f>
        <v/>
      </c>
      <c r="L49" s="11">
        <f>IF($A49="","",IF('入力'!M49="○","○",IF('入力'!M49="－","－","？")))</f>
        <v/>
      </c>
      <c r="M49" s="11">
        <f>IF($A49="","",IF('入力'!N49="○","○",IF('入力'!N49="－","－","？")))</f>
        <v/>
      </c>
      <c r="N49" s="11">
        <f>IF($A49="","",IF('入力'!O49="○","○",IF('入力'!O49="－","－","？")))</f>
        <v/>
      </c>
      <c r="O49" s="11">
        <f>IF($A49="","",IF('入力'!P49="○","○",IF('入力'!P49="－","－","？")))</f>
        <v/>
      </c>
      <c r="P49" s="11">
        <f>IF($A49="","",IF('入力'!Q49="○","○",IF('入力'!Q49="－","－","？")))</f>
        <v/>
      </c>
      <c r="Q49" s="11">
        <f>IF($A49="","",IF('入力'!R49="○","○",IF('入力'!R49="－","－","？")))</f>
        <v/>
      </c>
      <c r="R49" s="11">
        <f>IF($A49="","",IF('入力'!S49="○","○",IF('入力'!S49="－","－","？")))</f>
        <v/>
      </c>
      <c r="S49" s="11">
        <f>IF($A49="","",IF('入力'!T49="○","○",IF('入力'!T49="－","－","？")))</f>
        <v/>
      </c>
      <c r="T49" s="11">
        <f>IF($A49="","",IF('入力'!U49="○","○",IF('入力'!U49="－","－","？")))</f>
        <v/>
      </c>
      <c r="U49" s="11">
        <f>IF($A49="","",IF('入力'!V49="○","○",IF('入力'!V49="－","－","？")))</f>
        <v/>
      </c>
      <c r="V49" s="11">
        <f>IF($A49="","",IF('入力'!W49="○","○",IF('入力'!W49="－","－","？")))</f>
        <v/>
      </c>
      <c r="W49" s="11">
        <f>IF($A49="","",IF('入力'!X49="○","○",IF('入力'!X49="－","－","？")))</f>
        <v/>
      </c>
      <c r="X49" s="11">
        <f>IF($A49="","",IF('入力'!Y49="○","○",IF('入力'!Y49="－","－","？")))</f>
        <v/>
      </c>
      <c r="Y49" s="11">
        <f>IF($A49="","",IF('入力'!Z49="○","○",IF('入力'!Z49="－","－","？")))</f>
        <v/>
      </c>
      <c r="Z49" s="11">
        <f>IF($A49="","",IF('入力'!AA49="○","○",IF('入力'!AA49="－","－","？")))</f>
        <v/>
      </c>
      <c r="AA49" s="11">
        <f>IF($A49="","",IF('入力'!AB49="○","○",IF('入力'!AB49="－","－","？")))</f>
        <v/>
      </c>
      <c r="AB49" s="11">
        <f>IF($A49="","",IF('入力'!AC49="○","○",IF('入力'!AC49="－","－","？")))</f>
        <v/>
      </c>
      <c r="AC49" s="11">
        <f>IF($A49="","",IF('入力'!AD49="○","○",IF('入力'!AD49="－","－","？")))</f>
        <v/>
      </c>
      <c r="AD49" s="11">
        <f>IF($A49="","",IF('入力'!AE49="○","○",IF('入力'!AE49="－","－","？")))</f>
        <v/>
      </c>
      <c r="AE49" s="31">
        <f>IF(OR($A49="",ISBLANK('入力'!AF49)),"",'入力'!AF49)</f>
        <v/>
      </c>
      <c r="AF49" s="22">
        <f>IF($A49="","",IF(OR('入力'!AI49="未確認あり",'入力'!AI49="入力値エラー"),"※未確認あり。","")&amp;'入力'!AH49)</f>
        <v/>
      </c>
    </row>
    <row r="50" ht="28" customHeight="1">
      <c r="A50" s="22">
        <f>IF(ISBLANK('入力'!$B50),"",'入力'!$B50)</f>
        <v/>
      </c>
      <c r="B50" s="11">
        <f>IF($A50="","",IF('入力'!C50="○","○",IF('入力'!C50="－","－","？")))</f>
        <v/>
      </c>
      <c r="C50" s="11">
        <f>IF($A50="","",IF('入力'!D50="○","○",IF('入力'!D50="－","－","？")))</f>
        <v/>
      </c>
      <c r="D50" s="11">
        <f>IF($A50="","",IF('入力'!E50="○","○",IF('入力'!E50="－","－","？")))</f>
        <v/>
      </c>
      <c r="E50" s="11">
        <f>IF($A50="","",IF('入力'!F50="○","○",IF('入力'!F50="－","－","？")))</f>
        <v/>
      </c>
      <c r="F50" s="11">
        <f>IF($A50="","",IF('入力'!G50="○","○",IF('入力'!G50="－","－","？")))</f>
        <v/>
      </c>
      <c r="G50" s="11">
        <f>IF($A50="","",IF('入力'!H50="○","○",IF('入力'!H50="－","－","？")))</f>
        <v/>
      </c>
      <c r="H50" s="11">
        <f>IF($A50="","",IF('入力'!I50="○","○",IF('入力'!I50="－","－","？")))</f>
        <v/>
      </c>
      <c r="I50" s="11">
        <f>IF($A50="","",IF('入力'!J50="○","○",IF('入力'!J50="－","－","？")))</f>
        <v/>
      </c>
      <c r="J50" s="23">
        <f>IF($A50="","",IF('入力'!K50="○","○",IF('入力'!K50="－","－","？")))</f>
        <v/>
      </c>
      <c r="K50" s="11">
        <f>IF($A50="","",IF('入力'!L50="○","○",IF('入力'!L50="－","－","？")))</f>
        <v/>
      </c>
      <c r="L50" s="11">
        <f>IF($A50="","",IF('入力'!M50="○","○",IF('入力'!M50="－","－","？")))</f>
        <v/>
      </c>
      <c r="M50" s="11">
        <f>IF($A50="","",IF('入力'!N50="○","○",IF('入力'!N50="－","－","？")))</f>
        <v/>
      </c>
      <c r="N50" s="11">
        <f>IF($A50="","",IF('入力'!O50="○","○",IF('入力'!O50="－","－","？")))</f>
        <v/>
      </c>
      <c r="O50" s="11">
        <f>IF($A50="","",IF('入力'!P50="○","○",IF('入力'!P50="－","－","？")))</f>
        <v/>
      </c>
      <c r="P50" s="11">
        <f>IF($A50="","",IF('入力'!Q50="○","○",IF('入力'!Q50="－","－","？")))</f>
        <v/>
      </c>
      <c r="Q50" s="11">
        <f>IF($A50="","",IF('入力'!R50="○","○",IF('入力'!R50="－","－","？")))</f>
        <v/>
      </c>
      <c r="R50" s="11">
        <f>IF($A50="","",IF('入力'!S50="○","○",IF('入力'!S50="－","－","？")))</f>
        <v/>
      </c>
      <c r="S50" s="11">
        <f>IF($A50="","",IF('入力'!T50="○","○",IF('入力'!T50="－","－","？")))</f>
        <v/>
      </c>
      <c r="T50" s="11">
        <f>IF($A50="","",IF('入力'!U50="○","○",IF('入力'!U50="－","－","？")))</f>
        <v/>
      </c>
      <c r="U50" s="11">
        <f>IF($A50="","",IF('入力'!V50="○","○",IF('入力'!V50="－","－","？")))</f>
        <v/>
      </c>
      <c r="V50" s="11">
        <f>IF($A50="","",IF('入力'!W50="○","○",IF('入力'!W50="－","－","？")))</f>
        <v/>
      </c>
      <c r="W50" s="11">
        <f>IF($A50="","",IF('入力'!X50="○","○",IF('入力'!X50="－","－","？")))</f>
        <v/>
      </c>
      <c r="X50" s="11">
        <f>IF($A50="","",IF('入力'!Y50="○","○",IF('入力'!Y50="－","－","？")))</f>
        <v/>
      </c>
      <c r="Y50" s="11">
        <f>IF($A50="","",IF('入力'!Z50="○","○",IF('入力'!Z50="－","－","？")))</f>
        <v/>
      </c>
      <c r="Z50" s="11">
        <f>IF($A50="","",IF('入力'!AA50="○","○",IF('入力'!AA50="－","－","？")))</f>
        <v/>
      </c>
      <c r="AA50" s="11">
        <f>IF($A50="","",IF('入力'!AB50="○","○",IF('入力'!AB50="－","－","？")))</f>
        <v/>
      </c>
      <c r="AB50" s="11">
        <f>IF($A50="","",IF('入力'!AC50="○","○",IF('入力'!AC50="－","－","？")))</f>
        <v/>
      </c>
      <c r="AC50" s="11">
        <f>IF($A50="","",IF('入力'!AD50="○","○",IF('入力'!AD50="－","－","？")))</f>
        <v/>
      </c>
      <c r="AD50" s="11">
        <f>IF($A50="","",IF('入力'!AE50="○","○",IF('入力'!AE50="－","－","？")))</f>
        <v/>
      </c>
      <c r="AE50" s="31">
        <f>IF(OR($A50="",ISBLANK('入力'!AF50)),"",'入力'!AF50)</f>
        <v/>
      </c>
      <c r="AF50" s="22">
        <f>IF($A50="","",IF(OR('入力'!AI50="未確認あり",'入力'!AI50="入力値エラー"),"※未確認あり。","")&amp;'入力'!AH50)</f>
        <v/>
      </c>
    </row>
    <row r="51" ht="28" customHeight="1">
      <c r="A51" s="22">
        <f>IF(ISBLANK('入力'!$B51),"",'入力'!$B51)</f>
        <v/>
      </c>
      <c r="B51" s="11">
        <f>IF($A51="","",IF('入力'!C51="○","○",IF('入力'!C51="－","－","？")))</f>
        <v/>
      </c>
      <c r="C51" s="11">
        <f>IF($A51="","",IF('入力'!D51="○","○",IF('入力'!D51="－","－","？")))</f>
        <v/>
      </c>
      <c r="D51" s="11">
        <f>IF($A51="","",IF('入力'!E51="○","○",IF('入力'!E51="－","－","？")))</f>
        <v/>
      </c>
      <c r="E51" s="11">
        <f>IF($A51="","",IF('入力'!F51="○","○",IF('入力'!F51="－","－","？")))</f>
        <v/>
      </c>
      <c r="F51" s="11">
        <f>IF($A51="","",IF('入力'!G51="○","○",IF('入力'!G51="－","－","？")))</f>
        <v/>
      </c>
      <c r="G51" s="11">
        <f>IF($A51="","",IF('入力'!H51="○","○",IF('入力'!H51="－","－","？")))</f>
        <v/>
      </c>
      <c r="H51" s="11">
        <f>IF($A51="","",IF('入力'!I51="○","○",IF('入力'!I51="－","－","？")))</f>
        <v/>
      </c>
      <c r="I51" s="11">
        <f>IF($A51="","",IF('入力'!J51="○","○",IF('入力'!J51="－","－","？")))</f>
        <v/>
      </c>
      <c r="J51" s="23">
        <f>IF($A51="","",IF('入力'!K51="○","○",IF('入力'!K51="－","－","？")))</f>
        <v/>
      </c>
      <c r="K51" s="11">
        <f>IF($A51="","",IF('入力'!L51="○","○",IF('入力'!L51="－","－","？")))</f>
        <v/>
      </c>
      <c r="L51" s="11">
        <f>IF($A51="","",IF('入力'!M51="○","○",IF('入力'!M51="－","－","？")))</f>
        <v/>
      </c>
      <c r="M51" s="11">
        <f>IF($A51="","",IF('入力'!N51="○","○",IF('入力'!N51="－","－","？")))</f>
        <v/>
      </c>
      <c r="N51" s="11">
        <f>IF($A51="","",IF('入力'!O51="○","○",IF('入力'!O51="－","－","？")))</f>
        <v/>
      </c>
      <c r="O51" s="11">
        <f>IF($A51="","",IF('入力'!P51="○","○",IF('入力'!P51="－","－","？")))</f>
        <v/>
      </c>
      <c r="P51" s="11">
        <f>IF($A51="","",IF('入力'!Q51="○","○",IF('入力'!Q51="－","－","？")))</f>
        <v/>
      </c>
      <c r="Q51" s="11">
        <f>IF($A51="","",IF('入力'!R51="○","○",IF('入力'!R51="－","－","？")))</f>
        <v/>
      </c>
      <c r="R51" s="11">
        <f>IF($A51="","",IF('入力'!S51="○","○",IF('入力'!S51="－","－","？")))</f>
        <v/>
      </c>
      <c r="S51" s="11">
        <f>IF($A51="","",IF('入力'!T51="○","○",IF('入力'!T51="－","－","？")))</f>
        <v/>
      </c>
      <c r="T51" s="11">
        <f>IF($A51="","",IF('入力'!U51="○","○",IF('入力'!U51="－","－","？")))</f>
        <v/>
      </c>
      <c r="U51" s="11">
        <f>IF($A51="","",IF('入力'!V51="○","○",IF('入力'!V51="－","－","？")))</f>
        <v/>
      </c>
      <c r="V51" s="11">
        <f>IF($A51="","",IF('入力'!W51="○","○",IF('入力'!W51="－","－","？")))</f>
        <v/>
      </c>
      <c r="W51" s="11">
        <f>IF($A51="","",IF('入力'!X51="○","○",IF('入力'!X51="－","－","？")))</f>
        <v/>
      </c>
      <c r="X51" s="11">
        <f>IF($A51="","",IF('入力'!Y51="○","○",IF('入力'!Y51="－","－","？")))</f>
        <v/>
      </c>
      <c r="Y51" s="11">
        <f>IF($A51="","",IF('入力'!Z51="○","○",IF('入力'!Z51="－","－","？")))</f>
        <v/>
      </c>
      <c r="Z51" s="11">
        <f>IF($A51="","",IF('入力'!AA51="○","○",IF('入力'!AA51="－","－","？")))</f>
        <v/>
      </c>
      <c r="AA51" s="11">
        <f>IF($A51="","",IF('入力'!AB51="○","○",IF('入力'!AB51="－","－","？")))</f>
        <v/>
      </c>
      <c r="AB51" s="11">
        <f>IF($A51="","",IF('入力'!AC51="○","○",IF('入力'!AC51="－","－","？")))</f>
        <v/>
      </c>
      <c r="AC51" s="11">
        <f>IF($A51="","",IF('入力'!AD51="○","○",IF('入力'!AD51="－","－","？")))</f>
        <v/>
      </c>
      <c r="AD51" s="11">
        <f>IF($A51="","",IF('入力'!AE51="○","○",IF('入力'!AE51="－","－","？")))</f>
        <v/>
      </c>
      <c r="AE51" s="31">
        <f>IF(OR($A51="",ISBLANK('入力'!AF51)),"",'入力'!AF51)</f>
        <v/>
      </c>
      <c r="AF51" s="22">
        <f>IF($A51="","",IF(OR('入力'!AI51="未確認あり",'入力'!AI51="入力値エラー"),"※未確認あり。","")&amp;'入力'!AH51)</f>
        <v/>
      </c>
    </row>
    <row r="52" ht="28" customHeight="1">
      <c r="A52" s="22">
        <f>IF(ISBLANK('入力'!$B52),"",'入力'!$B52)</f>
        <v/>
      </c>
      <c r="B52" s="11">
        <f>IF($A52="","",IF('入力'!C52="○","○",IF('入力'!C52="－","－","？")))</f>
        <v/>
      </c>
      <c r="C52" s="11">
        <f>IF($A52="","",IF('入力'!D52="○","○",IF('入力'!D52="－","－","？")))</f>
        <v/>
      </c>
      <c r="D52" s="11">
        <f>IF($A52="","",IF('入力'!E52="○","○",IF('入力'!E52="－","－","？")))</f>
        <v/>
      </c>
      <c r="E52" s="11">
        <f>IF($A52="","",IF('入力'!F52="○","○",IF('入力'!F52="－","－","？")))</f>
        <v/>
      </c>
      <c r="F52" s="11">
        <f>IF($A52="","",IF('入力'!G52="○","○",IF('入力'!G52="－","－","？")))</f>
        <v/>
      </c>
      <c r="G52" s="11">
        <f>IF($A52="","",IF('入力'!H52="○","○",IF('入力'!H52="－","－","？")))</f>
        <v/>
      </c>
      <c r="H52" s="11">
        <f>IF($A52="","",IF('入力'!I52="○","○",IF('入力'!I52="－","－","？")))</f>
        <v/>
      </c>
      <c r="I52" s="11">
        <f>IF($A52="","",IF('入力'!J52="○","○",IF('入力'!J52="－","－","？")))</f>
        <v/>
      </c>
      <c r="J52" s="23">
        <f>IF($A52="","",IF('入力'!K52="○","○",IF('入力'!K52="－","－","？")))</f>
        <v/>
      </c>
      <c r="K52" s="11">
        <f>IF($A52="","",IF('入力'!L52="○","○",IF('入力'!L52="－","－","？")))</f>
        <v/>
      </c>
      <c r="L52" s="11">
        <f>IF($A52="","",IF('入力'!M52="○","○",IF('入力'!M52="－","－","？")))</f>
        <v/>
      </c>
      <c r="M52" s="11">
        <f>IF($A52="","",IF('入力'!N52="○","○",IF('入力'!N52="－","－","？")))</f>
        <v/>
      </c>
      <c r="N52" s="11">
        <f>IF($A52="","",IF('入力'!O52="○","○",IF('入力'!O52="－","－","？")))</f>
        <v/>
      </c>
      <c r="O52" s="11">
        <f>IF($A52="","",IF('入力'!P52="○","○",IF('入力'!P52="－","－","？")))</f>
        <v/>
      </c>
      <c r="P52" s="11">
        <f>IF($A52="","",IF('入力'!Q52="○","○",IF('入力'!Q52="－","－","？")))</f>
        <v/>
      </c>
      <c r="Q52" s="11">
        <f>IF($A52="","",IF('入力'!R52="○","○",IF('入力'!R52="－","－","？")))</f>
        <v/>
      </c>
      <c r="R52" s="11">
        <f>IF($A52="","",IF('入力'!S52="○","○",IF('入力'!S52="－","－","？")))</f>
        <v/>
      </c>
      <c r="S52" s="11">
        <f>IF($A52="","",IF('入力'!T52="○","○",IF('入力'!T52="－","－","？")))</f>
        <v/>
      </c>
      <c r="T52" s="11">
        <f>IF($A52="","",IF('入力'!U52="○","○",IF('入力'!U52="－","－","？")))</f>
        <v/>
      </c>
      <c r="U52" s="11">
        <f>IF($A52="","",IF('入力'!V52="○","○",IF('入力'!V52="－","－","？")))</f>
        <v/>
      </c>
      <c r="V52" s="11">
        <f>IF($A52="","",IF('入力'!W52="○","○",IF('入力'!W52="－","－","？")))</f>
        <v/>
      </c>
      <c r="W52" s="11">
        <f>IF($A52="","",IF('入力'!X52="○","○",IF('入力'!X52="－","－","？")))</f>
        <v/>
      </c>
      <c r="X52" s="11">
        <f>IF($A52="","",IF('入力'!Y52="○","○",IF('入力'!Y52="－","－","？")))</f>
        <v/>
      </c>
      <c r="Y52" s="11">
        <f>IF($A52="","",IF('入力'!Z52="○","○",IF('入力'!Z52="－","－","？")))</f>
        <v/>
      </c>
      <c r="Z52" s="11">
        <f>IF($A52="","",IF('入力'!AA52="○","○",IF('入力'!AA52="－","－","？")))</f>
        <v/>
      </c>
      <c r="AA52" s="11">
        <f>IF($A52="","",IF('入力'!AB52="○","○",IF('入力'!AB52="－","－","？")))</f>
        <v/>
      </c>
      <c r="AB52" s="11">
        <f>IF($A52="","",IF('入力'!AC52="○","○",IF('入力'!AC52="－","－","？")))</f>
        <v/>
      </c>
      <c r="AC52" s="11">
        <f>IF($A52="","",IF('入力'!AD52="○","○",IF('入力'!AD52="－","－","？")))</f>
        <v/>
      </c>
      <c r="AD52" s="11">
        <f>IF($A52="","",IF('入力'!AE52="○","○",IF('入力'!AE52="－","－","？")))</f>
        <v/>
      </c>
      <c r="AE52" s="31">
        <f>IF(OR($A52="",ISBLANK('入力'!AF52)),"",'入力'!AF52)</f>
        <v/>
      </c>
      <c r="AF52" s="22">
        <f>IF($A52="","",IF(OR('入力'!AI52="未確認あり",'入力'!AI52="入力値エラー"),"※未確認あり。","")&amp;'入力'!AH52)</f>
        <v/>
      </c>
    </row>
    <row r="53" ht="28" customHeight="1">
      <c r="A53" s="22">
        <f>IF(ISBLANK('入力'!$B53),"",'入力'!$B53)</f>
        <v/>
      </c>
      <c r="B53" s="11">
        <f>IF($A53="","",IF('入力'!C53="○","○",IF('入力'!C53="－","－","？")))</f>
        <v/>
      </c>
      <c r="C53" s="11">
        <f>IF($A53="","",IF('入力'!D53="○","○",IF('入力'!D53="－","－","？")))</f>
        <v/>
      </c>
      <c r="D53" s="11">
        <f>IF($A53="","",IF('入力'!E53="○","○",IF('入力'!E53="－","－","？")))</f>
        <v/>
      </c>
      <c r="E53" s="11">
        <f>IF($A53="","",IF('入力'!F53="○","○",IF('入力'!F53="－","－","？")))</f>
        <v/>
      </c>
      <c r="F53" s="11">
        <f>IF($A53="","",IF('入力'!G53="○","○",IF('入力'!G53="－","－","？")))</f>
        <v/>
      </c>
      <c r="G53" s="11">
        <f>IF($A53="","",IF('入力'!H53="○","○",IF('入力'!H53="－","－","？")))</f>
        <v/>
      </c>
      <c r="H53" s="11">
        <f>IF($A53="","",IF('入力'!I53="○","○",IF('入力'!I53="－","－","？")))</f>
        <v/>
      </c>
      <c r="I53" s="11">
        <f>IF($A53="","",IF('入力'!J53="○","○",IF('入力'!J53="－","－","？")))</f>
        <v/>
      </c>
      <c r="J53" s="23">
        <f>IF($A53="","",IF('入力'!K53="○","○",IF('入力'!K53="－","－","？")))</f>
        <v/>
      </c>
      <c r="K53" s="11">
        <f>IF($A53="","",IF('入力'!L53="○","○",IF('入力'!L53="－","－","？")))</f>
        <v/>
      </c>
      <c r="L53" s="11">
        <f>IF($A53="","",IF('入力'!M53="○","○",IF('入力'!M53="－","－","？")))</f>
        <v/>
      </c>
      <c r="M53" s="11">
        <f>IF($A53="","",IF('入力'!N53="○","○",IF('入力'!N53="－","－","？")))</f>
        <v/>
      </c>
      <c r="N53" s="11">
        <f>IF($A53="","",IF('入力'!O53="○","○",IF('入力'!O53="－","－","？")))</f>
        <v/>
      </c>
      <c r="O53" s="11">
        <f>IF($A53="","",IF('入力'!P53="○","○",IF('入力'!P53="－","－","？")))</f>
        <v/>
      </c>
      <c r="P53" s="11">
        <f>IF($A53="","",IF('入力'!Q53="○","○",IF('入力'!Q53="－","－","？")))</f>
        <v/>
      </c>
      <c r="Q53" s="11">
        <f>IF($A53="","",IF('入力'!R53="○","○",IF('入力'!R53="－","－","？")))</f>
        <v/>
      </c>
      <c r="R53" s="11">
        <f>IF($A53="","",IF('入力'!S53="○","○",IF('入力'!S53="－","－","？")))</f>
        <v/>
      </c>
      <c r="S53" s="11">
        <f>IF($A53="","",IF('入力'!T53="○","○",IF('入力'!T53="－","－","？")))</f>
        <v/>
      </c>
      <c r="T53" s="11">
        <f>IF($A53="","",IF('入力'!U53="○","○",IF('入力'!U53="－","－","？")))</f>
        <v/>
      </c>
      <c r="U53" s="11">
        <f>IF($A53="","",IF('入力'!V53="○","○",IF('入力'!V53="－","－","？")))</f>
        <v/>
      </c>
      <c r="V53" s="11">
        <f>IF($A53="","",IF('入力'!W53="○","○",IF('入力'!W53="－","－","？")))</f>
        <v/>
      </c>
      <c r="W53" s="11">
        <f>IF($A53="","",IF('入力'!X53="○","○",IF('入力'!X53="－","－","？")))</f>
        <v/>
      </c>
      <c r="X53" s="11">
        <f>IF($A53="","",IF('入力'!Y53="○","○",IF('入力'!Y53="－","－","？")))</f>
        <v/>
      </c>
      <c r="Y53" s="11">
        <f>IF($A53="","",IF('入力'!Z53="○","○",IF('入力'!Z53="－","－","？")))</f>
        <v/>
      </c>
      <c r="Z53" s="11">
        <f>IF($A53="","",IF('入力'!AA53="○","○",IF('入力'!AA53="－","－","？")))</f>
        <v/>
      </c>
      <c r="AA53" s="11">
        <f>IF($A53="","",IF('入力'!AB53="○","○",IF('入力'!AB53="－","－","？")))</f>
        <v/>
      </c>
      <c r="AB53" s="11">
        <f>IF($A53="","",IF('入力'!AC53="○","○",IF('入力'!AC53="－","－","？")))</f>
        <v/>
      </c>
      <c r="AC53" s="11">
        <f>IF($A53="","",IF('入力'!AD53="○","○",IF('入力'!AD53="－","－","？")))</f>
        <v/>
      </c>
      <c r="AD53" s="11">
        <f>IF($A53="","",IF('入力'!AE53="○","○",IF('入力'!AE53="－","－","？")))</f>
        <v/>
      </c>
      <c r="AE53" s="31">
        <f>IF(OR($A53="",ISBLANK('入力'!AF53)),"",'入力'!AF53)</f>
        <v/>
      </c>
      <c r="AF53" s="22">
        <f>IF($A53="","",IF(OR('入力'!AI53="未確認あり",'入力'!AI53="入力値エラー"),"※未確認あり。","")&amp;'入力'!AH53)</f>
        <v/>
      </c>
    </row>
    <row r="54" ht="28" customHeight="1">
      <c r="A54" s="22">
        <f>IF(ISBLANK('入力'!$B54),"",'入力'!$B54)</f>
        <v/>
      </c>
      <c r="B54" s="11">
        <f>IF($A54="","",IF('入力'!C54="○","○",IF('入力'!C54="－","－","？")))</f>
        <v/>
      </c>
      <c r="C54" s="11">
        <f>IF($A54="","",IF('入力'!D54="○","○",IF('入力'!D54="－","－","？")))</f>
        <v/>
      </c>
      <c r="D54" s="11">
        <f>IF($A54="","",IF('入力'!E54="○","○",IF('入力'!E54="－","－","？")))</f>
        <v/>
      </c>
      <c r="E54" s="11">
        <f>IF($A54="","",IF('入力'!F54="○","○",IF('入力'!F54="－","－","？")))</f>
        <v/>
      </c>
      <c r="F54" s="11">
        <f>IF($A54="","",IF('入力'!G54="○","○",IF('入力'!G54="－","－","？")))</f>
        <v/>
      </c>
      <c r="G54" s="11">
        <f>IF($A54="","",IF('入力'!H54="○","○",IF('入力'!H54="－","－","？")))</f>
        <v/>
      </c>
      <c r="H54" s="11">
        <f>IF($A54="","",IF('入力'!I54="○","○",IF('入力'!I54="－","－","？")))</f>
        <v/>
      </c>
      <c r="I54" s="11">
        <f>IF($A54="","",IF('入力'!J54="○","○",IF('入力'!J54="－","－","？")))</f>
        <v/>
      </c>
      <c r="J54" s="23">
        <f>IF($A54="","",IF('入力'!K54="○","○",IF('入力'!K54="－","－","？")))</f>
        <v/>
      </c>
      <c r="K54" s="11">
        <f>IF($A54="","",IF('入力'!L54="○","○",IF('入力'!L54="－","－","？")))</f>
        <v/>
      </c>
      <c r="L54" s="11">
        <f>IF($A54="","",IF('入力'!M54="○","○",IF('入力'!M54="－","－","？")))</f>
        <v/>
      </c>
      <c r="M54" s="11">
        <f>IF($A54="","",IF('入力'!N54="○","○",IF('入力'!N54="－","－","？")))</f>
        <v/>
      </c>
      <c r="N54" s="11">
        <f>IF($A54="","",IF('入力'!O54="○","○",IF('入力'!O54="－","－","？")))</f>
        <v/>
      </c>
      <c r="O54" s="11">
        <f>IF($A54="","",IF('入力'!P54="○","○",IF('入力'!P54="－","－","？")))</f>
        <v/>
      </c>
      <c r="P54" s="11">
        <f>IF($A54="","",IF('入力'!Q54="○","○",IF('入力'!Q54="－","－","？")))</f>
        <v/>
      </c>
      <c r="Q54" s="11">
        <f>IF($A54="","",IF('入力'!R54="○","○",IF('入力'!R54="－","－","？")))</f>
        <v/>
      </c>
      <c r="R54" s="11">
        <f>IF($A54="","",IF('入力'!S54="○","○",IF('入力'!S54="－","－","？")))</f>
        <v/>
      </c>
      <c r="S54" s="11">
        <f>IF($A54="","",IF('入力'!T54="○","○",IF('入力'!T54="－","－","？")))</f>
        <v/>
      </c>
      <c r="T54" s="11">
        <f>IF($A54="","",IF('入力'!U54="○","○",IF('入力'!U54="－","－","？")))</f>
        <v/>
      </c>
      <c r="U54" s="11">
        <f>IF($A54="","",IF('入力'!V54="○","○",IF('入力'!V54="－","－","？")))</f>
        <v/>
      </c>
      <c r="V54" s="11">
        <f>IF($A54="","",IF('入力'!W54="○","○",IF('入力'!W54="－","－","？")))</f>
        <v/>
      </c>
      <c r="W54" s="11">
        <f>IF($A54="","",IF('入力'!X54="○","○",IF('入力'!X54="－","－","？")))</f>
        <v/>
      </c>
      <c r="X54" s="11">
        <f>IF($A54="","",IF('入力'!Y54="○","○",IF('入力'!Y54="－","－","？")))</f>
        <v/>
      </c>
      <c r="Y54" s="11">
        <f>IF($A54="","",IF('入力'!Z54="○","○",IF('入力'!Z54="－","－","？")))</f>
        <v/>
      </c>
      <c r="Z54" s="11">
        <f>IF($A54="","",IF('入力'!AA54="○","○",IF('入力'!AA54="－","－","？")))</f>
        <v/>
      </c>
      <c r="AA54" s="11">
        <f>IF($A54="","",IF('入力'!AB54="○","○",IF('入力'!AB54="－","－","？")))</f>
        <v/>
      </c>
      <c r="AB54" s="11">
        <f>IF($A54="","",IF('入力'!AC54="○","○",IF('入力'!AC54="－","－","？")))</f>
        <v/>
      </c>
      <c r="AC54" s="11">
        <f>IF($A54="","",IF('入力'!AD54="○","○",IF('入力'!AD54="－","－","？")))</f>
        <v/>
      </c>
      <c r="AD54" s="11">
        <f>IF($A54="","",IF('入力'!AE54="○","○",IF('入力'!AE54="－","－","？")))</f>
        <v/>
      </c>
      <c r="AE54" s="31">
        <f>IF(OR($A54="",ISBLANK('入力'!AF54)),"",'入力'!AF54)</f>
        <v/>
      </c>
      <c r="AF54" s="22">
        <f>IF($A54="","",IF(OR('入力'!AI54="未確認あり",'入力'!AI54="入力値エラー"),"※未確認あり。","")&amp;'入力'!AH54)</f>
        <v/>
      </c>
    </row>
    <row r="55" ht="28" customHeight="1">
      <c r="A55" s="22">
        <f>IF(ISBLANK('入力'!$B55),"",'入力'!$B55)</f>
        <v/>
      </c>
      <c r="B55" s="11">
        <f>IF($A55="","",IF('入力'!C55="○","○",IF('入力'!C55="－","－","？")))</f>
        <v/>
      </c>
      <c r="C55" s="11">
        <f>IF($A55="","",IF('入力'!D55="○","○",IF('入力'!D55="－","－","？")))</f>
        <v/>
      </c>
      <c r="D55" s="11">
        <f>IF($A55="","",IF('入力'!E55="○","○",IF('入力'!E55="－","－","？")))</f>
        <v/>
      </c>
      <c r="E55" s="11">
        <f>IF($A55="","",IF('入力'!F55="○","○",IF('入力'!F55="－","－","？")))</f>
        <v/>
      </c>
      <c r="F55" s="11">
        <f>IF($A55="","",IF('入力'!G55="○","○",IF('入力'!G55="－","－","？")))</f>
        <v/>
      </c>
      <c r="G55" s="11">
        <f>IF($A55="","",IF('入力'!H55="○","○",IF('入力'!H55="－","－","？")))</f>
        <v/>
      </c>
      <c r="H55" s="11">
        <f>IF($A55="","",IF('入力'!I55="○","○",IF('入力'!I55="－","－","？")))</f>
        <v/>
      </c>
      <c r="I55" s="11">
        <f>IF($A55="","",IF('入力'!J55="○","○",IF('入力'!J55="－","－","？")))</f>
        <v/>
      </c>
      <c r="J55" s="23">
        <f>IF($A55="","",IF('入力'!K55="○","○",IF('入力'!K55="－","－","？")))</f>
        <v/>
      </c>
      <c r="K55" s="11">
        <f>IF($A55="","",IF('入力'!L55="○","○",IF('入力'!L55="－","－","？")))</f>
        <v/>
      </c>
      <c r="L55" s="11">
        <f>IF($A55="","",IF('入力'!M55="○","○",IF('入力'!M55="－","－","？")))</f>
        <v/>
      </c>
      <c r="M55" s="11">
        <f>IF($A55="","",IF('入力'!N55="○","○",IF('入力'!N55="－","－","？")))</f>
        <v/>
      </c>
      <c r="N55" s="11">
        <f>IF($A55="","",IF('入力'!O55="○","○",IF('入力'!O55="－","－","？")))</f>
        <v/>
      </c>
      <c r="O55" s="11">
        <f>IF($A55="","",IF('入力'!P55="○","○",IF('入力'!P55="－","－","？")))</f>
        <v/>
      </c>
      <c r="P55" s="11">
        <f>IF($A55="","",IF('入力'!Q55="○","○",IF('入力'!Q55="－","－","？")))</f>
        <v/>
      </c>
      <c r="Q55" s="11">
        <f>IF($A55="","",IF('入力'!R55="○","○",IF('入力'!R55="－","－","？")))</f>
        <v/>
      </c>
      <c r="R55" s="11">
        <f>IF($A55="","",IF('入力'!S55="○","○",IF('入力'!S55="－","－","？")))</f>
        <v/>
      </c>
      <c r="S55" s="11">
        <f>IF($A55="","",IF('入力'!T55="○","○",IF('入力'!T55="－","－","？")))</f>
        <v/>
      </c>
      <c r="T55" s="11">
        <f>IF($A55="","",IF('入力'!U55="○","○",IF('入力'!U55="－","－","？")))</f>
        <v/>
      </c>
      <c r="U55" s="11">
        <f>IF($A55="","",IF('入力'!V55="○","○",IF('入力'!V55="－","－","？")))</f>
        <v/>
      </c>
      <c r="V55" s="11">
        <f>IF($A55="","",IF('入力'!W55="○","○",IF('入力'!W55="－","－","？")))</f>
        <v/>
      </c>
      <c r="W55" s="11">
        <f>IF($A55="","",IF('入力'!X55="○","○",IF('入力'!X55="－","－","？")))</f>
        <v/>
      </c>
      <c r="X55" s="11">
        <f>IF($A55="","",IF('入力'!Y55="○","○",IF('入力'!Y55="－","－","？")))</f>
        <v/>
      </c>
      <c r="Y55" s="11">
        <f>IF($A55="","",IF('入力'!Z55="○","○",IF('入力'!Z55="－","－","？")))</f>
        <v/>
      </c>
      <c r="Z55" s="11">
        <f>IF($A55="","",IF('入力'!AA55="○","○",IF('入力'!AA55="－","－","？")))</f>
        <v/>
      </c>
      <c r="AA55" s="11">
        <f>IF($A55="","",IF('入力'!AB55="○","○",IF('入力'!AB55="－","－","？")))</f>
        <v/>
      </c>
      <c r="AB55" s="11">
        <f>IF($A55="","",IF('入力'!AC55="○","○",IF('入力'!AC55="－","－","？")))</f>
        <v/>
      </c>
      <c r="AC55" s="11">
        <f>IF($A55="","",IF('入力'!AD55="○","○",IF('入力'!AD55="－","－","？")))</f>
        <v/>
      </c>
      <c r="AD55" s="11">
        <f>IF($A55="","",IF('入力'!AE55="○","○",IF('入力'!AE55="－","－","？")))</f>
        <v/>
      </c>
      <c r="AE55" s="31">
        <f>IF(OR($A55="",ISBLANK('入力'!AF55)),"",'入力'!AF55)</f>
        <v/>
      </c>
      <c r="AF55" s="22">
        <f>IF($A55="","",IF(OR('入力'!AI55="未確認あり",'入力'!AI55="入力値エラー"),"※未確認あり。","")&amp;'入力'!AH55)</f>
        <v/>
      </c>
    </row>
  </sheetData>
  <mergeCells count="5">
    <mergeCell ref="A1:AF1"/>
    <mergeCell ref="AE4:AE5"/>
    <mergeCell ref="AF4:AF5"/>
    <mergeCell ref="A3:AF3"/>
    <mergeCell ref="A2:AF2"/>
  </mergeCells>
  <conditionalFormatting sqref="B6:AD55">
    <cfRule type="cellIs" priority="1" operator="equal" dxfId="0">
      <formula>"？"</formula>
    </cfRule>
    <cfRule type="cellIs" priority="2" operator="equal" dxfId="1">
      <formula>"○"</formula>
    </cfRule>
  </conditionalFormatting>
  <printOptions horizontalCentered="1"/>
  <pageMargins left="0.25" right="0.25" top="0.35" bottom="0.45" header="0.15" footer="0.2"/>
  <pageSetup orientation="landscape" paperSize="9" scale="100"/>
  <headerFooter>
    <oddHeader/>
    <oddFooter>&amp;C&amp;10 &amp;Pページ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MenuBridge</dc:creator>
  <dc:title xmlns:dc="http://purl.org/dc/elements/1.1/">アレルゲン一覧表</dc:title>
  <dcterms:created xmlns:dcterms="http://purl.org/dc/terms/" xmlns:xsi="http://www.w3.org/2001/XMLSchema-instance" xsi:type="dcterms:W3CDTF">2026-10-11T10:09:50Z</dcterms:created>
  <dcterms:modified xmlns:dcterms="http://purl.org/dc/terms/" xmlns:xsi="http://www.w3.org/2001/XMLSchema-instance" xsi:type="dcterms:W3CDTF">2026-10-11T10:09:50Z</dcterms:modified>
</cp:coreProperties>
</file>
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材料マスタ" sheetId="2" state="visible" r:id="rId2"/>
    <sheet xmlns:r="http://schemas.openxmlformats.org/officeDocument/2006/relationships" name="メニュー原価" sheetId="3" state="visible" r:id="rId3"/>
    <sheet xmlns:r="http://schemas.openxmlformats.org/officeDocument/2006/relationships" name="一覧" sheetId="4" state="visible" r:id="rId4"/>
    <sheet xmlns:r="http://schemas.openxmlformats.org/officeDocument/2006/relationships" name="設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##"/>
    <numFmt numFmtId="165" formatCode="#,##0.0000"/>
    <numFmt numFmtId="166" formatCode="0.0%"/>
    <numFmt numFmtId="167" formatCode="+0.00%;-0.00%;0.00%"/>
  </numFmts>
  <fonts count="5">
    <font>
      <name val="Calibri"/>
      <family val="2"/>
      <color theme="1"/>
      <sz val="11"/>
      <scheme val="minor"/>
    </font>
    <font>
      <name val="Meiryo"/>
      <b val="1"/>
      <sz val="14"/>
    </font>
    <font>
      <name val="Meiryo"/>
    </font>
    <font>
      <name val="Meiryo"/>
      <b val="1"/>
    </font>
    <font>
      <name val="Meiryo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FFF6C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pivotButton="0" quotePrefix="0" xfId="0"/>
    <xf numFmtId="0" fontId="2" fillId="3" borderId="1" pivotButton="0" quotePrefix="0" xfId="0"/>
    <xf numFmtId="3" fontId="2" fillId="3" borderId="1" pivotButton="0" quotePrefix="0" xfId="0"/>
    <xf numFmtId="9" fontId="2" fillId="3" borderId="1" pivotButton="0" quotePrefix="0" xfId="0"/>
    <xf numFmtId="164" fontId="2" fillId="3" borderId="1" pivotButton="0" quotePrefix="0" xfId="0"/>
    <xf numFmtId="4" fontId="2" fillId="4" borderId="1" pivotButton="0" quotePrefix="0" xfId="0"/>
    <xf numFmtId="165" fontId="2" fillId="4" borderId="1" pivotButton="0" quotePrefix="0" xfId="0"/>
    <xf numFmtId="0" fontId="2" fillId="4" borderId="1" pivotButton="0" quotePrefix="0" xfId="0"/>
    <xf numFmtId="0" fontId="3" fillId="2" borderId="1" pivotButton="0" quotePrefix="0" xfId="0"/>
    <xf numFmtId="0" fontId="3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4" fontId="3" fillId="4" borderId="1" pivotButton="0" quotePrefix="0" xfId="0"/>
    <xf numFmtId="0" fontId="2" fillId="0" borderId="1" applyAlignment="1" pivotButton="0" quotePrefix="0" xfId="0">
      <alignment wrapText="1"/>
    </xf>
    <xf numFmtId="166" fontId="3" fillId="4" borderId="1" pivotButton="0" quotePrefix="0" xfId="0"/>
    <xf numFmtId="9" fontId="3" fillId="4" borderId="1" pivotButton="0" quotePrefix="0" xfId="0"/>
    <xf numFmtId="10" fontId="3" fillId="4" borderId="1" pivotButton="0" quotePrefix="0" xfId="0"/>
    <xf numFmtId="0" fontId="3" fillId="4" borderId="1" pivotButton="0" quotePrefix="0" xfId="0"/>
    <xf numFmtId="167" fontId="3" fillId="4" borderId="1" pivotButton="0" quotePrefix="0" xfId="0"/>
    <xf numFmtId="3" fontId="3" fillId="4" borderId="1" pivotButton="0" quotePrefix="0" xfId="0"/>
    <xf numFmtId="3" fontId="2" fillId="0" borderId="1" pivotButton="0" quotePrefix="0" xfId="0"/>
    <xf numFmtId="4" fontId="2" fillId="0" borderId="1" pivotButton="0" quotePrefix="0" xfId="0"/>
    <xf numFmtId="10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原価率計算シート（個人経営の飲食店向け）</t>
        </is>
      </c>
    </row>
    <row r="2">
      <c r="A2" s="2" t="inlineStr"/>
    </row>
    <row r="3">
      <c r="A3" s="3" t="inlineStr">
        <is>
          <t>■ このファイルでできること</t>
        </is>
      </c>
    </row>
    <row r="4">
      <c r="A4" s="2" t="inlineStr">
        <is>
          <t>・材料の仕入価格から、1g・1ml・1個あたりの単価を自動で計算します（歩留まりも考慮）。</t>
        </is>
      </c>
    </row>
    <row r="5">
      <c r="A5" s="2" t="inlineStr">
        <is>
          <t>・メニューごとに材料と使用量を入れると、1品の原価・原価率・目標との差・推奨売価が出ます。</t>
        </is>
      </c>
    </row>
    <row r="6">
      <c r="A6" s="2" t="inlineStr">
        <is>
          <t>・「一覧」シートで全メニュー（最大30品）の原価率を並べて確認できます。</t>
        </is>
      </c>
    </row>
    <row r="7">
      <c r="A7" s="2" t="inlineStr"/>
    </row>
    <row r="8">
      <c r="A8" s="3" t="inlineStr">
        <is>
          <t>■ 使う順番</t>
        </is>
      </c>
    </row>
    <row r="9">
      <c r="A9" s="2" t="inlineStr">
        <is>
          <t>1. 「設定」シートで、目標原価率と消費税率を確認します（初期値：目標30%、売価10%、仕入8%）。</t>
        </is>
      </c>
    </row>
    <row r="10">
      <c r="A10" s="2" t="inlineStr">
        <is>
          <t>2. 「材料マスタ」に材料を登録します（最大100件）。黄色のセル＝入力欄です（見出しに【入力】と書いてあります）。</t>
        </is>
      </c>
    </row>
    <row r="11">
      <c r="A11" s="2" t="inlineStr">
        <is>
          <t xml:space="preserve">   ・仕入価格は、レシートどおりの金額を入れ、「税込」か「税抜」を選びます（空欄は税込として扱います）。</t>
        </is>
      </c>
    </row>
    <row r="12">
      <c r="A12" s="2" t="inlineStr">
        <is>
          <t xml:space="preserve">   ・税率は空欄なら「設定」の仕入の税率（8%）を使います。容器など食品以外は10%を入れてください。</t>
        </is>
      </c>
    </row>
    <row r="13">
      <c r="A13" s="2" t="inlineStr">
        <is>
          <t xml:space="preserve">   ・内容量は、単位（g・ml・個・枚など）とそろえて数字で入れます。例：1kg袋なら 1000（単位 g）。</t>
        </is>
      </c>
    </row>
    <row r="14">
      <c r="A14" s="2" t="inlineStr">
        <is>
          <t xml:space="preserve">   ・歩留まりは、皮・骨・筋などを除いて実際に使える割合です。空欄は100%として扱います。85% または 85 と入力できます。</t>
        </is>
      </c>
    </row>
    <row r="15">
      <c r="A15" s="2" t="inlineStr">
        <is>
          <t>3. 「メニュー原価」に、メニュー名・販売価格（税込）を入れ、材料を選んで使用量を入れます（1品15行まで）。</t>
        </is>
      </c>
    </row>
    <row r="16">
      <c r="A16" s="2" t="inlineStr">
        <is>
          <t xml:space="preserve">   ・材料名はリストから選びます。使用量は材料マスタの単位（g・ml・個など）で入れます。</t>
        </is>
      </c>
    </row>
    <row r="17">
      <c r="A17" s="2" t="inlineStr">
        <is>
          <t xml:space="preserve">   ・目標原価率・売価の税率は、空欄なら「設定」の値を使います。持ち帰り（8%）の品だけ変える、などができます。</t>
        </is>
      </c>
    </row>
    <row r="18">
      <c r="A18" s="2" t="inlineStr">
        <is>
          <t>4. 「一覧」で全メニューを確認します。目標を超えた品は「超過」と表示されます。</t>
        </is>
      </c>
    </row>
    <row r="19">
      <c r="A19" s="2" t="inlineStr"/>
    </row>
    <row r="20">
      <c r="A20" s="3" t="inlineStr">
        <is>
          <t>■ 計算のきまり</t>
        </is>
      </c>
    </row>
    <row r="21">
      <c r="A21" s="2" t="inlineStr">
        <is>
          <t>・原価も売価も「税抜」でそろえて原価率を計算します（税込の仕入価格は税率で割り戻します）。</t>
        </is>
      </c>
    </row>
    <row r="22">
      <c r="A22" s="2" t="inlineStr">
        <is>
          <t>・税抜仕入価格は小数第2位、単価は小数第4位、1行の原価は小数第2位で四捨五入します。原価率は小数第4位（0.01%単位）で四捨五入します。</t>
        </is>
      </c>
    </row>
    <row r="23">
      <c r="A23" s="2" t="inlineStr">
        <is>
          <t>・推奨売価（税込）＝ 合計原価 ÷ 目標原価率 ×（1＋売価の税率）を、10円単位で切り上げた金額です。</t>
        </is>
      </c>
    </row>
    <row r="24">
      <c r="A24" s="2" t="inlineStr">
        <is>
          <t>・入力が足りないところは空欄のまま表示し、エラー（#DIV/0! など）は出ないようにしています。</t>
        </is>
      </c>
    </row>
    <row r="25">
      <c r="A25" s="2" t="inlineStr">
        <is>
          <t>・材料マスタの「チェック」列、メニューの「チェック」列に、入力の不足（例：内容量を入力、未登録の材料）を文字で表示します。</t>
        </is>
      </c>
    </row>
    <row r="26">
      <c r="A26" s="2" t="inlineStr"/>
    </row>
    <row r="27">
      <c r="A27" s="3" t="inlineStr">
        <is>
          <t>■ 見本データについて</t>
        </is>
      </c>
    </row>
    <row r="28">
      <c r="A28" s="2" t="inlineStr">
        <is>
          <t>・最初に入っている店名「〇〇食堂（見本）」、材料、メニュー、金額は、すべて見本の架空の数値です。実在の店や商品の価格ではありません。</t>
        </is>
      </c>
    </row>
    <row r="29">
      <c r="A29" s="2" t="inlineStr">
        <is>
          <t>・自分の店で使うときは、見本の行を消すか上書きしてください（数式の入っている灰色の列は消さないでください）。</t>
        </is>
      </c>
    </row>
    <row r="30">
      <c r="A30" s="2" t="inlineStr"/>
    </row>
    <row r="31">
      <c r="A31" s="3" t="inlineStr">
        <is>
          <t>■ 対応ソフト</t>
        </is>
      </c>
    </row>
    <row r="32">
      <c r="A32" s="2" t="inlineStr">
        <is>
          <t>・Microsoft Excel（デスクトップ版）、Google スプレッドシート（Googleドライブにアップロードして開く）を想定しています。</t>
        </is>
      </c>
    </row>
    <row r="33">
      <c r="A33" s="2" t="inlineStr">
        <is>
          <t>・マクロ・外部リンク・新しい関数（XLOOKUP など）は使っていません。</t>
        </is>
      </c>
    </row>
    <row r="34">
      <c r="A34" s="2" t="inlineStr"/>
    </row>
    <row r="35">
      <c r="A35" s="3" t="inlineStr">
        <is>
          <t>■ ご注意</t>
        </is>
      </c>
    </row>
    <row r="36">
      <c r="A36" s="2" t="inlineStr">
        <is>
          <t>・計算結果は入力した数字に基づく目安です。価格の決定は、ご自身の判断で行ってください。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2" customWidth="1" min="4" max="4"/>
    <col width="12" customWidth="1" min="5" max="5"/>
    <col width="11" customWidth="1" min="6" max="6"/>
    <col width="10" customWidth="1" min="7" max="7"/>
    <col width="7" customWidth="1" min="8" max="8"/>
    <col width="12" customWidth="1" min="9" max="9"/>
    <col width="13" customWidth="1" min="10" max="10"/>
    <col width="14" customWidth="1" min="11" max="11"/>
    <col width="15" customWidth="1" min="12" max="12"/>
    <col width="16" customWidth="1" min="13" max="13"/>
  </cols>
  <sheetData>
    <row r="1">
      <c r="A1" s="4" t="inlineStr">
        <is>
          <t>材料マスタ</t>
        </is>
      </c>
    </row>
    <row r="2">
      <c r="A2" s="5" t="inlineStr">
        <is>
          <t>黄色＝入力欄（見出しに【入力】）、灰色＝自動計算（数式。消さないでください）。見本の行は見本の架空の数値です。</t>
        </is>
      </c>
    </row>
    <row r="3">
      <c r="A3" s="5" t="inlineStr">
        <is>
          <t>仕入価格はレシートどおりに入れ、税込か税抜かを選びます。空欄は税込として扱います。</t>
        </is>
      </c>
    </row>
    <row r="4" ht="48" customHeight="1">
      <c r="A4" s="6" t="inlineStr">
        <is>
          <t>No</t>
        </is>
      </c>
      <c r="B4" s="6" t="inlineStr">
        <is>
          <t>【入力】材料名</t>
        </is>
      </c>
      <c r="C4" s="6" t="inlineStr">
        <is>
          <t>【入力】仕入単位（メモ）</t>
        </is>
      </c>
      <c r="D4" s="6" t="inlineStr">
        <is>
          <t>【入力】仕入価格（円）</t>
        </is>
      </c>
      <c r="E4" s="6" t="inlineStr">
        <is>
          <t>【入力】税区分（税込／税抜）</t>
        </is>
      </c>
      <c r="F4" s="6" t="inlineStr">
        <is>
          <t>【入力】税率（空欄=設定値）</t>
        </is>
      </c>
      <c r="G4" s="6" t="inlineStr">
        <is>
          <t>【入力】内容量</t>
        </is>
      </c>
      <c r="H4" s="6" t="inlineStr">
        <is>
          <t>【入力】単位</t>
        </is>
      </c>
      <c r="I4" s="6" t="inlineStr">
        <is>
          <t>【入力】歩留まり（空欄=100%）</t>
        </is>
      </c>
      <c r="J4" s="6" t="inlineStr">
        <is>
          <t>税抜仕入価格（円）［自動］</t>
        </is>
      </c>
      <c r="K4" s="6" t="inlineStr">
        <is>
          <t>単位あたり単価（税抜・円）［自動］</t>
        </is>
      </c>
      <c r="L4" s="6" t="inlineStr">
        <is>
          <t>歩留まり後の単価（税抜・円）［自動］</t>
        </is>
      </c>
      <c r="M4" s="6" t="inlineStr">
        <is>
          <t>チェック［自動］</t>
        </is>
      </c>
    </row>
    <row r="5">
      <c r="A5" s="7" t="n">
        <v>1</v>
      </c>
      <c r="B5" s="8" t="inlineStr">
        <is>
          <t>豚こま切れ肉</t>
        </is>
      </c>
      <c r="C5" s="8" t="inlineStr">
        <is>
          <t>1kgパック</t>
        </is>
      </c>
      <c r="D5" s="9" t="n">
        <v>1280</v>
      </c>
      <c r="E5" s="8" t="inlineStr">
        <is>
          <t>税込</t>
        </is>
      </c>
      <c r="F5" s="10" t="n"/>
      <c r="G5" s="11" t="n">
        <v>1000</v>
      </c>
      <c r="H5" s="8" t="inlineStr">
        <is>
          <t>g</t>
        </is>
      </c>
      <c r="I5" s="10" t="n"/>
      <c r="J5" s="12">
        <f>IF(OR(B5="",D5=""),"",IFERROR(IF(E5="税抜",D5,ROUND(D5/(1+IF(F5="",'設定'!$C$6,IF(F5&gt;=1,F5/100,F5))),2)),""))</f>
        <v/>
      </c>
      <c r="K5" s="13">
        <f>IFERROR(IF(OR(J5="",G5="",G5=0),"",ROUND(J5/G5,4)),"")</f>
        <v/>
      </c>
      <c r="L5" s="13">
        <f>IFERROR(IF(K5="","",IF(IF(I5="",1,IF(I5&gt;1,I5/100,I5))=0,"",ROUND(K5/IF(I5="",1,IF(I5&gt;1,I5/100,I5)),4))),"")</f>
        <v/>
      </c>
      <c r="M5" s="14">
        <f>IF(B5="","",IF(D5="","価格を入力",IF(OR(G5="",G5=0),"内容量を入力",IF(AND(I5&lt;&gt;"",I5=0),"歩留まりが0",IF(L5="","入力を確認","OK")))))</f>
        <v/>
      </c>
    </row>
    <row r="6">
      <c r="A6" s="7" t="n">
        <v>2</v>
      </c>
      <c r="B6" s="8" t="inlineStr">
        <is>
          <t>鶏もも肉</t>
        </is>
      </c>
      <c r="C6" s="8" t="inlineStr">
        <is>
          <t>2kgパック</t>
        </is>
      </c>
      <c r="D6" s="9" t="n">
        <v>1980</v>
      </c>
      <c r="E6" s="8" t="inlineStr">
        <is>
          <t>税抜</t>
        </is>
      </c>
      <c r="F6" s="10" t="n"/>
      <c r="G6" s="11" t="n">
        <v>2000</v>
      </c>
      <c r="H6" s="8" t="inlineStr">
        <is>
          <t>g</t>
        </is>
      </c>
      <c r="I6" s="10" t="n">
        <v>0.9</v>
      </c>
      <c r="J6" s="12">
        <f>IF(OR(B6="",D6=""),"",IFERROR(IF(E6="税抜",D6,ROUND(D6/(1+IF(F6="",'設定'!$C$6,IF(F6&gt;=1,F6/100,F6))),2)),""))</f>
        <v/>
      </c>
      <c r="K6" s="13">
        <f>IFERROR(IF(OR(J6="",G6="",G6=0),"",ROUND(J6/G6,4)),"")</f>
        <v/>
      </c>
      <c r="L6" s="13">
        <f>IFERROR(IF(K6="","",IF(IF(I6="",1,IF(I6&gt;1,I6/100,I6))=0,"",ROUND(K6/IF(I6="",1,IF(I6&gt;1,I6/100,I6)),4))),"")</f>
        <v/>
      </c>
      <c r="M6" s="14">
        <f>IF(B6="","",IF(D6="","価格を入力",IF(OR(G6="",G6=0),"内容量を入力",IF(AND(I6&lt;&gt;"",I6=0),"歩留まりが0",IF(L6="","入力を確認","OK")))))</f>
        <v/>
      </c>
    </row>
    <row r="7">
      <c r="A7" s="7" t="n">
        <v>3</v>
      </c>
      <c r="B7" s="8" t="inlineStr">
        <is>
          <t>玉ねぎ</t>
        </is>
      </c>
      <c r="C7" s="8" t="inlineStr">
        <is>
          <t>3kg袋</t>
        </is>
      </c>
      <c r="D7" s="9" t="n">
        <v>698</v>
      </c>
      <c r="E7" s="8" t="inlineStr">
        <is>
          <t>税込</t>
        </is>
      </c>
      <c r="F7" s="10" t="n"/>
      <c r="G7" s="11" t="n">
        <v>3000</v>
      </c>
      <c r="H7" s="8" t="inlineStr">
        <is>
          <t>g</t>
        </is>
      </c>
      <c r="I7" s="10" t="n">
        <v>0.9</v>
      </c>
      <c r="J7" s="12">
        <f>IF(OR(B7="",D7=""),"",IFERROR(IF(E7="税抜",D7,ROUND(D7/(1+IF(F7="",'設定'!$C$6,IF(F7&gt;=1,F7/100,F7))),2)),""))</f>
        <v/>
      </c>
      <c r="K7" s="13">
        <f>IFERROR(IF(OR(J7="",G7="",G7=0),"",ROUND(J7/G7,4)),"")</f>
        <v/>
      </c>
      <c r="L7" s="13">
        <f>IFERROR(IF(K7="","",IF(IF(I7="",1,IF(I7&gt;1,I7/100,I7))=0,"",ROUND(K7/IF(I7="",1,IF(I7&gt;1,I7/100,I7)),4))),"")</f>
        <v/>
      </c>
      <c r="M7" s="14">
        <f>IF(B7="","",IF(D7="","価格を入力",IF(OR(G7="",G7=0),"内容量を入力",IF(AND(I7&lt;&gt;"",I7=0),"歩留まりが0",IF(L7="","入力を確認","OK")))))</f>
        <v/>
      </c>
    </row>
    <row r="8">
      <c r="A8" s="7" t="n">
        <v>4</v>
      </c>
      <c r="B8" s="8" t="inlineStr">
        <is>
          <t>じゃがいも</t>
        </is>
      </c>
      <c r="C8" s="8" t="inlineStr">
        <is>
          <t>1kg袋</t>
        </is>
      </c>
      <c r="D8" s="9" t="n">
        <v>298</v>
      </c>
      <c r="E8" s="8" t="inlineStr">
        <is>
          <t>税込</t>
        </is>
      </c>
      <c r="F8" s="10" t="n"/>
      <c r="G8" s="11" t="n">
        <v>1000</v>
      </c>
      <c r="H8" s="8" t="inlineStr">
        <is>
          <t>g</t>
        </is>
      </c>
      <c r="I8" s="10" t="n">
        <v>0.85</v>
      </c>
      <c r="J8" s="12">
        <f>IF(OR(B8="",D8=""),"",IFERROR(IF(E8="税抜",D8,ROUND(D8/(1+IF(F8="",'設定'!$C$6,IF(F8&gt;=1,F8/100,F8))),2)),""))</f>
        <v/>
      </c>
      <c r="K8" s="13">
        <f>IFERROR(IF(OR(J8="",G8="",G8=0),"",ROUND(J8/G8,4)),"")</f>
        <v/>
      </c>
      <c r="L8" s="13">
        <f>IFERROR(IF(K8="","",IF(IF(I8="",1,IF(I8&gt;1,I8/100,I8))=0,"",ROUND(K8/IF(I8="",1,IF(I8&gt;1,I8/100,I8)),4))),"")</f>
        <v/>
      </c>
      <c r="M8" s="14">
        <f>IF(B8="","",IF(D8="","価格を入力",IF(OR(G8="",G8=0),"内容量を入力",IF(AND(I8&lt;&gt;"",I8=0),"歩留まりが0",IF(L8="","入力を確認","OK")))))</f>
        <v/>
      </c>
    </row>
    <row r="9">
      <c r="A9" s="7" t="n">
        <v>5</v>
      </c>
      <c r="B9" s="8" t="inlineStr">
        <is>
          <t>卵</t>
        </is>
      </c>
      <c r="C9" s="8" t="inlineStr">
        <is>
          <t>10個パック</t>
        </is>
      </c>
      <c r="D9" s="9" t="n">
        <v>248</v>
      </c>
      <c r="E9" s="8" t="inlineStr">
        <is>
          <t>税込</t>
        </is>
      </c>
      <c r="F9" s="10" t="n"/>
      <c r="G9" s="11" t="n">
        <v>10</v>
      </c>
      <c r="H9" s="8" t="inlineStr">
        <is>
          <t>個</t>
        </is>
      </c>
      <c r="I9" s="10" t="n"/>
      <c r="J9" s="12">
        <f>IF(OR(B9="",D9=""),"",IFERROR(IF(E9="税抜",D9,ROUND(D9/(1+IF(F9="",'設定'!$C$6,IF(F9&gt;=1,F9/100,F9))),2)),""))</f>
        <v/>
      </c>
      <c r="K9" s="13">
        <f>IFERROR(IF(OR(J9="",G9="",G9=0),"",ROUND(J9/G9,4)),"")</f>
        <v/>
      </c>
      <c r="L9" s="13">
        <f>IFERROR(IF(K9="","",IF(IF(I9="",1,IF(I9&gt;1,I9/100,I9))=0,"",ROUND(K9/IF(I9="",1,IF(I9&gt;1,I9/100,I9)),4))),"")</f>
        <v/>
      </c>
      <c r="M9" s="14">
        <f>IF(B9="","",IF(D9="","価格を入力",IF(OR(G9="",G9=0),"内容量を入力",IF(AND(I9&lt;&gt;"",I9=0),"歩留まりが0",IF(L9="","入力を確認","OK")))))</f>
        <v/>
      </c>
    </row>
    <row r="10">
      <c r="A10" s="7" t="n">
        <v>6</v>
      </c>
      <c r="B10" s="8" t="inlineStr">
        <is>
          <t>米</t>
        </is>
      </c>
      <c r="C10" s="8" t="inlineStr">
        <is>
          <t>10kg袋</t>
        </is>
      </c>
      <c r="D10" s="9" t="n">
        <v>4980</v>
      </c>
      <c r="E10" s="8" t="inlineStr">
        <is>
          <t>税込</t>
        </is>
      </c>
      <c r="F10" s="10" t="n"/>
      <c r="G10" s="11" t="n">
        <v>10000</v>
      </c>
      <c r="H10" s="8" t="inlineStr">
        <is>
          <t>g</t>
        </is>
      </c>
      <c r="I10" s="10" t="n"/>
      <c r="J10" s="12">
        <f>IF(OR(B10="",D10=""),"",IFERROR(IF(E10="税抜",D10,ROUND(D10/(1+IF(F10="",'設定'!$C$6,IF(F10&gt;=1,F10/100,F10))),2)),""))</f>
        <v/>
      </c>
      <c r="K10" s="13">
        <f>IFERROR(IF(OR(J10="",G10="",G10=0),"",ROUND(J10/G10,4)),"")</f>
        <v/>
      </c>
      <c r="L10" s="13">
        <f>IFERROR(IF(K10="","",IF(IF(I10="",1,IF(I10&gt;1,I10/100,I10))=0,"",ROUND(K10/IF(I10="",1,IF(I10&gt;1,I10/100,I10)),4))),"")</f>
        <v/>
      </c>
      <c r="M10" s="14">
        <f>IF(B10="","",IF(D10="","価格を入力",IF(OR(G10="",G10=0),"内容量を入力",IF(AND(I10&lt;&gt;"",I10=0),"歩留まりが0",IF(L10="","入力を確認","OK")))))</f>
        <v/>
      </c>
    </row>
    <row r="11">
      <c r="A11" s="7" t="n">
        <v>7</v>
      </c>
      <c r="B11" s="8" t="inlineStr">
        <is>
          <t>キャベツ</t>
        </is>
      </c>
      <c r="C11" s="8" t="inlineStr">
        <is>
          <t>1玉</t>
        </is>
      </c>
      <c r="D11" s="9" t="n">
        <v>198</v>
      </c>
      <c r="E11" s="8" t="inlineStr">
        <is>
          <t>税込</t>
        </is>
      </c>
      <c r="F11" s="10" t="n"/>
      <c r="G11" s="11" t="n">
        <v>1200</v>
      </c>
      <c r="H11" s="8" t="inlineStr">
        <is>
          <t>g</t>
        </is>
      </c>
      <c r="I11" s="10" t="n">
        <v>0.8</v>
      </c>
      <c r="J11" s="12">
        <f>IF(OR(B11="",D11=""),"",IFERROR(IF(E11="税抜",D11,ROUND(D11/(1+IF(F11="",'設定'!$C$6,IF(F11&gt;=1,F11/100,F11))),2)),""))</f>
        <v/>
      </c>
      <c r="K11" s="13">
        <f>IFERROR(IF(OR(J11="",G11="",G11=0),"",ROUND(J11/G11,4)),"")</f>
        <v/>
      </c>
      <c r="L11" s="13">
        <f>IFERROR(IF(K11="","",IF(IF(I11="",1,IF(I11&gt;1,I11/100,I11))=0,"",ROUND(K11/IF(I11="",1,IF(I11&gt;1,I11/100,I11)),4))),"")</f>
        <v/>
      </c>
      <c r="M11" s="14">
        <f>IF(B11="","",IF(D11="","価格を入力",IF(OR(G11="",G11=0),"内容量を入力",IF(AND(I11&lt;&gt;"",I11=0),"歩留まりが0",IF(L11="","入力を確認","OK")))))</f>
        <v/>
      </c>
    </row>
    <row r="12">
      <c r="A12" s="7" t="n">
        <v>8</v>
      </c>
      <c r="B12" s="8" t="inlineStr">
        <is>
          <t>しょうゆ</t>
        </is>
      </c>
      <c r="C12" s="8" t="inlineStr">
        <is>
          <t>1.8Lボトル</t>
        </is>
      </c>
      <c r="D12" s="9" t="n">
        <v>498</v>
      </c>
      <c r="E12" s="8" t="inlineStr">
        <is>
          <t>税込</t>
        </is>
      </c>
      <c r="F12" s="10" t="n"/>
      <c r="G12" s="11" t="n">
        <v>1800</v>
      </c>
      <c r="H12" s="8" t="inlineStr">
        <is>
          <t>ml</t>
        </is>
      </c>
      <c r="I12" s="10" t="n"/>
      <c r="J12" s="12">
        <f>IF(OR(B12="",D12=""),"",IFERROR(IF(E12="税抜",D12,ROUND(D12/(1+IF(F12="",'設定'!$C$6,IF(F12&gt;=1,F12/100,F12))),2)),""))</f>
        <v/>
      </c>
      <c r="K12" s="13">
        <f>IFERROR(IF(OR(J12="",G12="",G12=0),"",ROUND(J12/G12,4)),"")</f>
        <v/>
      </c>
      <c r="L12" s="13">
        <f>IFERROR(IF(K12="","",IF(IF(I12="",1,IF(I12&gt;1,I12/100,I12))=0,"",ROUND(K12/IF(I12="",1,IF(I12&gt;1,I12/100,I12)),4))),"")</f>
        <v/>
      </c>
      <c r="M12" s="14">
        <f>IF(B12="","",IF(D12="","価格を入力",IF(OR(G12="",G12=0),"内容量を入力",IF(AND(I12&lt;&gt;"",I12=0),"歩留まりが0",IF(L12="","入力を確認","OK")))))</f>
        <v/>
      </c>
    </row>
    <row r="13">
      <c r="A13" s="7" t="n">
        <v>9</v>
      </c>
      <c r="B13" s="8" t="inlineStr">
        <is>
          <t>マヨネーズ</t>
        </is>
      </c>
      <c r="C13" s="8" t="inlineStr">
        <is>
          <t>1kg袋</t>
        </is>
      </c>
      <c r="D13" s="9" t="n">
        <v>598</v>
      </c>
      <c r="E13" s="8" t="inlineStr">
        <is>
          <t>税抜</t>
        </is>
      </c>
      <c r="F13" s="10" t="n"/>
      <c r="G13" s="11" t="n">
        <v>1000</v>
      </c>
      <c r="H13" s="8" t="inlineStr">
        <is>
          <t>g</t>
        </is>
      </c>
      <c r="I13" s="10" t="n"/>
      <c r="J13" s="12">
        <f>IF(OR(B13="",D13=""),"",IFERROR(IF(E13="税抜",D13,ROUND(D13/(1+IF(F13="",'設定'!$C$6,IF(F13&gt;=1,F13/100,F13))),2)),""))</f>
        <v/>
      </c>
      <c r="K13" s="13">
        <f>IFERROR(IF(OR(J13="",G13="",G13=0),"",ROUND(J13/G13,4)),"")</f>
        <v/>
      </c>
      <c r="L13" s="13">
        <f>IFERROR(IF(K13="","",IF(IF(I13="",1,IF(I13&gt;1,I13/100,I13))=0,"",ROUND(K13/IF(I13="",1,IF(I13&gt;1,I13/100,I13)),4))),"")</f>
        <v/>
      </c>
      <c r="M13" s="14">
        <f>IF(B13="","",IF(D13="","価格を入力",IF(OR(G13="",G13=0),"内容量を入力",IF(AND(I13&lt;&gt;"",I13=0),"歩留まりが0",IF(L13="","入力を確認","OK")))))</f>
        <v/>
      </c>
    </row>
    <row r="14">
      <c r="A14" s="7" t="n">
        <v>10</v>
      </c>
      <c r="B14" s="8" t="inlineStr">
        <is>
          <t>持ち帰り容器</t>
        </is>
      </c>
      <c r="C14" s="8" t="inlineStr">
        <is>
          <t>50枚入り</t>
        </is>
      </c>
      <c r="D14" s="9" t="n">
        <v>1100</v>
      </c>
      <c r="E14" s="8" t="inlineStr">
        <is>
          <t>税込</t>
        </is>
      </c>
      <c r="F14" s="10" t="n">
        <v>0.1</v>
      </c>
      <c r="G14" s="11" t="n">
        <v>50</v>
      </c>
      <c r="H14" s="8" t="inlineStr">
        <is>
          <t>枚</t>
        </is>
      </c>
      <c r="I14" s="10" t="n"/>
      <c r="J14" s="12">
        <f>IF(OR(B14="",D14=""),"",IFERROR(IF(E14="税抜",D14,ROUND(D14/(1+IF(F14="",'設定'!$C$6,IF(F14&gt;=1,F14/100,F14))),2)),""))</f>
        <v/>
      </c>
      <c r="K14" s="13">
        <f>IFERROR(IF(OR(J14="",G14="",G14=0),"",ROUND(J14/G14,4)),"")</f>
        <v/>
      </c>
      <c r="L14" s="13">
        <f>IFERROR(IF(K14="","",IF(IF(I14="",1,IF(I14&gt;1,I14/100,I14))=0,"",ROUND(K14/IF(I14="",1,IF(I14&gt;1,I14/100,I14)),4))),"")</f>
        <v/>
      </c>
      <c r="M14" s="14">
        <f>IF(B14="","",IF(D14="","価格を入力",IF(OR(G14="",G14=0),"内容量を入力",IF(AND(I14&lt;&gt;"",I14=0),"歩留まりが0",IF(L14="","入力を確認","OK")))))</f>
        <v/>
      </c>
    </row>
    <row r="15">
      <c r="A15" s="7" t="n">
        <v>11</v>
      </c>
      <c r="B15" s="8" t="n"/>
      <c r="C15" s="8" t="n"/>
      <c r="D15" s="9" t="n"/>
      <c r="E15" s="8" t="n"/>
      <c r="F15" s="10" t="n"/>
      <c r="G15" s="11" t="n"/>
      <c r="H15" s="8" t="n"/>
      <c r="I15" s="10" t="n"/>
      <c r="J15" s="12">
        <f>IF(OR(B15="",D15=""),"",IFERROR(IF(E15="税抜",D15,ROUND(D15/(1+IF(F15="",'設定'!$C$6,IF(F15&gt;=1,F15/100,F15))),2)),""))</f>
        <v/>
      </c>
      <c r="K15" s="13">
        <f>IFERROR(IF(OR(J15="",G15="",G15=0),"",ROUND(J15/G15,4)),"")</f>
        <v/>
      </c>
      <c r="L15" s="13">
        <f>IFERROR(IF(K15="","",IF(IF(I15="",1,IF(I15&gt;1,I15/100,I15))=0,"",ROUND(K15/IF(I15="",1,IF(I15&gt;1,I15/100,I15)),4))),"")</f>
        <v/>
      </c>
      <c r="M15" s="14">
        <f>IF(B15="","",IF(D15="","価格を入力",IF(OR(G15="",G15=0),"内容量を入力",IF(AND(I15&lt;&gt;"",I15=0),"歩留まりが0",IF(L15="","入力を確認","OK")))))</f>
        <v/>
      </c>
    </row>
    <row r="16">
      <c r="A16" s="7" t="n">
        <v>12</v>
      </c>
      <c r="B16" s="8" t="n"/>
      <c r="C16" s="8" t="n"/>
      <c r="D16" s="9" t="n"/>
      <c r="E16" s="8" t="n"/>
      <c r="F16" s="10" t="n"/>
      <c r="G16" s="11" t="n"/>
      <c r="H16" s="8" t="n"/>
      <c r="I16" s="10" t="n"/>
      <c r="J16" s="12">
        <f>IF(OR(B16="",D16=""),"",IFERROR(IF(E16="税抜",D16,ROUND(D16/(1+IF(F16="",'設定'!$C$6,IF(F16&gt;=1,F16/100,F16))),2)),""))</f>
        <v/>
      </c>
      <c r="K16" s="13">
        <f>IFERROR(IF(OR(J16="",G16="",G16=0),"",ROUND(J16/G16,4)),"")</f>
        <v/>
      </c>
      <c r="L16" s="13">
        <f>IFERROR(IF(K16="","",IF(IF(I16="",1,IF(I16&gt;1,I16/100,I16))=0,"",ROUND(K16/IF(I16="",1,IF(I16&gt;1,I16/100,I16)),4))),"")</f>
        <v/>
      </c>
      <c r="M16" s="14">
        <f>IF(B16="","",IF(D16="","価格を入力",IF(OR(G16="",G16=0),"内容量を入力",IF(AND(I16&lt;&gt;"",I16=0),"歩留まりが0",IF(L16="","入力を確認","OK")))))</f>
        <v/>
      </c>
    </row>
    <row r="17">
      <c r="A17" s="7" t="n">
        <v>13</v>
      </c>
      <c r="B17" s="8" t="n"/>
      <c r="C17" s="8" t="n"/>
      <c r="D17" s="9" t="n"/>
      <c r="E17" s="8" t="n"/>
      <c r="F17" s="10" t="n"/>
      <c r="G17" s="11" t="n"/>
      <c r="H17" s="8" t="n"/>
      <c r="I17" s="10" t="n"/>
      <c r="J17" s="12">
        <f>IF(OR(B17="",D17=""),"",IFERROR(IF(E17="税抜",D17,ROUND(D17/(1+IF(F17="",'設定'!$C$6,IF(F17&gt;=1,F17/100,F17))),2)),""))</f>
        <v/>
      </c>
      <c r="K17" s="13">
        <f>IFERROR(IF(OR(J17="",G17="",G17=0),"",ROUND(J17/G17,4)),"")</f>
        <v/>
      </c>
      <c r="L17" s="13">
        <f>IFERROR(IF(K17="","",IF(IF(I17="",1,IF(I17&gt;1,I17/100,I17))=0,"",ROUND(K17/IF(I17="",1,IF(I17&gt;1,I17/100,I17)),4))),"")</f>
        <v/>
      </c>
      <c r="M17" s="14">
        <f>IF(B17="","",IF(D17="","価格を入力",IF(OR(G17="",G17=0),"内容量を入力",IF(AND(I17&lt;&gt;"",I17=0),"歩留まりが0",IF(L17="","入力を確認","OK")))))</f>
        <v/>
      </c>
    </row>
    <row r="18">
      <c r="A18" s="7" t="n">
        <v>14</v>
      </c>
      <c r="B18" s="8" t="n"/>
      <c r="C18" s="8" t="n"/>
      <c r="D18" s="9" t="n"/>
      <c r="E18" s="8" t="n"/>
      <c r="F18" s="10" t="n"/>
      <c r="G18" s="11" t="n"/>
      <c r="H18" s="8" t="n"/>
      <c r="I18" s="10" t="n"/>
      <c r="J18" s="12">
        <f>IF(OR(B18="",D18=""),"",IFERROR(IF(E18="税抜",D18,ROUND(D18/(1+IF(F18="",'設定'!$C$6,IF(F18&gt;=1,F18/100,F18))),2)),""))</f>
        <v/>
      </c>
      <c r="K18" s="13">
        <f>IFERROR(IF(OR(J18="",G18="",G18=0),"",ROUND(J18/G18,4)),"")</f>
        <v/>
      </c>
      <c r="L18" s="13">
        <f>IFERROR(IF(K18="","",IF(IF(I18="",1,IF(I18&gt;1,I18/100,I18))=0,"",ROUND(K18/IF(I18="",1,IF(I18&gt;1,I18/100,I18)),4))),"")</f>
        <v/>
      </c>
      <c r="M18" s="14">
        <f>IF(B18="","",IF(D18="","価格を入力",IF(OR(G18="",G18=0),"内容量を入力",IF(AND(I18&lt;&gt;"",I18=0),"歩留まりが0",IF(L18="","入力を確認","OK")))))</f>
        <v/>
      </c>
    </row>
    <row r="19">
      <c r="A19" s="7" t="n">
        <v>15</v>
      </c>
      <c r="B19" s="8" t="n"/>
      <c r="C19" s="8" t="n"/>
      <c r="D19" s="9" t="n"/>
      <c r="E19" s="8" t="n"/>
      <c r="F19" s="10" t="n"/>
      <c r="G19" s="11" t="n"/>
      <c r="H19" s="8" t="n"/>
      <c r="I19" s="10" t="n"/>
      <c r="J19" s="12">
        <f>IF(OR(B19="",D19=""),"",IFERROR(IF(E19="税抜",D19,ROUND(D19/(1+IF(F19="",'設定'!$C$6,IF(F19&gt;=1,F19/100,F19))),2)),""))</f>
        <v/>
      </c>
      <c r="K19" s="13">
        <f>IFERROR(IF(OR(J19="",G19="",G19=0),"",ROUND(J19/G19,4)),"")</f>
        <v/>
      </c>
      <c r="L19" s="13">
        <f>IFERROR(IF(K19="","",IF(IF(I19="",1,IF(I19&gt;1,I19/100,I19))=0,"",ROUND(K19/IF(I19="",1,IF(I19&gt;1,I19/100,I19)),4))),"")</f>
        <v/>
      </c>
      <c r="M19" s="14">
        <f>IF(B19="","",IF(D19="","価格を入力",IF(OR(G19="",G19=0),"内容量を入力",IF(AND(I19&lt;&gt;"",I19=0),"歩留まりが0",IF(L19="","入力を確認","OK")))))</f>
        <v/>
      </c>
    </row>
    <row r="20">
      <c r="A20" s="7" t="n">
        <v>16</v>
      </c>
      <c r="B20" s="8" t="n"/>
      <c r="C20" s="8" t="n"/>
      <c r="D20" s="9" t="n"/>
      <c r="E20" s="8" t="n"/>
      <c r="F20" s="10" t="n"/>
      <c r="G20" s="11" t="n"/>
      <c r="H20" s="8" t="n"/>
      <c r="I20" s="10" t="n"/>
      <c r="J20" s="12">
        <f>IF(OR(B20="",D20=""),"",IFERROR(IF(E20="税抜",D20,ROUND(D20/(1+IF(F20="",'設定'!$C$6,IF(F20&gt;=1,F20/100,F20))),2)),""))</f>
        <v/>
      </c>
      <c r="K20" s="13">
        <f>IFERROR(IF(OR(J20="",G20="",G20=0),"",ROUND(J20/G20,4)),"")</f>
        <v/>
      </c>
      <c r="L20" s="13">
        <f>IFERROR(IF(K20="","",IF(IF(I20="",1,IF(I20&gt;1,I20/100,I20))=0,"",ROUND(K20/IF(I20="",1,IF(I20&gt;1,I20/100,I20)),4))),"")</f>
        <v/>
      </c>
      <c r="M20" s="14">
        <f>IF(B20="","",IF(D20="","価格を入力",IF(OR(G20="",G20=0),"内容量を入力",IF(AND(I20&lt;&gt;"",I20=0),"歩留まりが0",IF(L20="","入力を確認","OK")))))</f>
        <v/>
      </c>
    </row>
    <row r="21">
      <c r="A21" s="7" t="n">
        <v>17</v>
      </c>
      <c r="B21" s="8" t="n"/>
      <c r="C21" s="8" t="n"/>
      <c r="D21" s="9" t="n"/>
      <c r="E21" s="8" t="n"/>
      <c r="F21" s="10" t="n"/>
      <c r="G21" s="11" t="n"/>
      <c r="H21" s="8" t="n"/>
      <c r="I21" s="10" t="n"/>
      <c r="J21" s="12">
        <f>IF(OR(B21="",D21=""),"",IFERROR(IF(E21="税抜",D21,ROUND(D21/(1+IF(F21="",'設定'!$C$6,IF(F21&gt;=1,F21/100,F21))),2)),""))</f>
        <v/>
      </c>
      <c r="K21" s="13">
        <f>IFERROR(IF(OR(J21="",G21="",G21=0),"",ROUND(J21/G21,4)),"")</f>
        <v/>
      </c>
      <c r="L21" s="13">
        <f>IFERROR(IF(K21="","",IF(IF(I21="",1,IF(I21&gt;1,I21/100,I21))=0,"",ROUND(K21/IF(I21="",1,IF(I21&gt;1,I21/100,I21)),4))),"")</f>
        <v/>
      </c>
      <c r="M21" s="14">
        <f>IF(B21="","",IF(D21="","価格を入力",IF(OR(G21="",G21=0),"内容量を入力",IF(AND(I21&lt;&gt;"",I21=0),"歩留まりが0",IF(L21="","入力を確認","OK")))))</f>
        <v/>
      </c>
    </row>
    <row r="22">
      <c r="A22" s="7" t="n">
        <v>18</v>
      </c>
      <c r="B22" s="8" t="n"/>
      <c r="C22" s="8" t="n"/>
      <c r="D22" s="9" t="n"/>
      <c r="E22" s="8" t="n"/>
      <c r="F22" s="10" t="n"/>
      <c r="G22" s="11" t="n"/>
      <c r="H22" s="8" t="n"/>
      <c r="I22" s="10" t="n"/>
      <c r="J22" s="12">
        <f>IF(OR(B22="",D22=""),"",IFERROR(IF(E22="税抜",D22,ROUND(D22/(1+IF(F22="",'設定'!$C$6,IF(F22&gt;=1,F22/100,F22))),2)),""))</f>
        <v/>
      </c>
      <c r="K22" s="13">
        <f>IFERROR(IF(OR(J22="",G22="",G22=0),"",ROUND(J22/G22,4)),"")</f>
        <v/>
      </c>
      <c r="L22" s="13">
        <f>IFERROR(IF(K22="","",IF(IF(I22="",1,IF(I22&gt;1,I22/100,I22))=0,"",ROUND(K22/IF(I22="",1,IF(I22&gt;1,I22/100,I22)),4))),"")</f>
        <v/>
      </c>
      <c r="M22" s="14">
        <f>IF(B22="","",IF(D22="","価格を入力",IF(OR(G22="",G22=0),"内容量を入力",IF(AND(I22&lt;&gt;"",I22=0),"歩留まりが0",IF(L22="","入力を確認","OK")))))</f>
        <v/>
      </c>
    </row>
    <row r="23">
      <c r="A23" s="7" t="n">
        <v>19</v>
      </c>
      <c r="B23" s="8" t="n"/>
      <c r="C23" s="8" t="n"/>
      <c r="D23" s="9" t="n"/>
      <c r="E23" s="8" t="n"/>
      <c r="F23" s="10" t="n"/>
      <c r="G23" s="11" t="n"/>
      <c r="H23" s="8" t="n"/>
      <c r="I23" s="10" t="n"/>
      <c r="J23" s="12">
        <f>IF(OR(B23="",D23=""),"",IFERROR(IF(E23="税抜",D23,ROUND(D23/(1+IF(F23="",'設定'!$C$6,IF(F23&gt;=1,F23/100,F23))),2)),""))</f>
        <v/>
      </c>
      <c r="K23" s="13">
        <f>IFERROR(IF(OR(J23="",G23="",G23=0),"",ROUND(J23/G23,4)),"")</f>
        <v/>
      </c>
      <c r="L23" s="13">
        <f>IFERROR(IF(K23="","",IF(IF(I23="",1,IF(I23&gt;1,I23/100,I23))=0,"",ROUND(K23/IF(I23="",1,IF(I23&gt;1,I23/100,I23)),4))),"")</f>
        <v/>
      </c>
      <c r="M23" s="14">
        <f>IF(B23="","",IF(D23="","価格を入力",IF(OR(G23="",G23=0),"内容量を入力",IF(AND(I23&lt;&gt;"",I23=0),"歩留まりが0",IF(L23="","入力を確認","OK")))))</f>
        <v/>
      </c>
    </row>
    <row r="24">
      <c r="A24" s="7" t="n">
        <v>20</v>
      </c>
      <c r="B24" s="8" t="n"/>
      <c r="C24" s="8" t="n"/>
      <c r="D24" s="9" t="n"/>
      <c r="E24" s="8" t="n"/>
      <c r="F24" s="10" t="n"/>
      <c r="G24" s="11" t="n"/>
      <c r="H24" s="8" t="n"/>
      <c r="I24" s="10" t="n"/>
      <c r="J24" s="12">
        <f>IF(OR(B24="",D24=""),"",IFERROR(IF(E24="税抜",D24,ROUND(D24/(1+IF(F24="",'設定'!$C$6,IF(F24&gt;=1,F24/100,F24))),2)),""))</f>
        <v/>
      </c>
      <c r="K24" s="13">
        <f>IFERROR(IF(OR(J24="",G24="",G24=0),"",ROUND(J24/G24,4)),"")</f>
        <v/>
      </c>
      <c r="L24" s="13">
        <f>IFERROR(IF(K24="","",IF(IF(I24="",1,IF(I24&gt;1,I24/100,I24))=0,"",ROUND(K24/IF(I24="",1,IF(I24&gt;1,I24/100,I24)),4))),"")</f>
        <v/>
      </c>
      <c r="M24" s="14">
        <f>IF(B24="","",IF(D24="","価格を入力",IF(OR(G24="",G24=0),"内容量を入力",IF(AND(I24&lt;&gt;"",I24=0),"歩留まりが0",IF(L24="","入力を確認","OK")))))</f>
        <v/>
      </c>
    </row>
    <row r="25">
      <c r="A25" s="7" t="n">
        <v>21</v>
      </c>
      <c r="B25" s="8" t="n"/>
      <c r="C25" s="8" t="n"/>
      <c r="D25" s="9" t="n"/>
      <c r="E25" s="8" t="n"/>
      <c r="F25" s="10" t="n"/>
      <c r="G25" s="11" t="n"/>
      <c r="H25" s="8" t="n"/>
      <c r="I25" s="10" t="n"/>
      <c r="J25" s="12">
        <f>IF(OR(B25="",D25=""),"",IFERROR(IF(E25="税抜",D25,ROUND(D25/(1+IF(F25="",'設定'!$C$6,IF(F25&gt;=1,F25/100,F25))),2)),""))</f>
        <v/>
      </c>
      <c r="K25" s="13">
        <f>IFERROR(IF(OR(J25="",G25="",G25=0),"",ROUND(J25/G25,4)),"")</f>
        <v/>
      </c>
      <c r="L25" s="13">
        <f>IFERROR(IF(K25="","",IF(IF(I25="",1,IF(I25&gt;1,I25/100,I25))=0,"",ROUND(K25/IF(I25="",1,IF(I25&gt;1,I25/100,I25)),4))),"")</f>
        <v/>
      </c>
      <c r="M25" s="14">
        <f>IF(B25="","",IF(D25="","価格を入力",IF(OR(G25="",G25=0),"内容量を入力",IF(AND(I25&lt;&gt;"",I25=0),"歩留まりが0",IF(L25="","入力を確認","OK")))))</f>
        <v/>
      </c>
    </row>
    <row r="26">
      <c r="A26" s="7" t="n">
        <v>22</v>
      </c>
      <c r="B26" s="8" t="n"/>
      <c r="C26" s="8" t="n"/>
      <c r="D26" s="9" t="n"/>
      <c r="E26" s="8" t="n"/>
      <c r="F26" s="10" t="n"/>
      <c r="G26" s="11" t="n"/>
      <c r="H26" s="8" t="n"/>
      <c r="I26" s="10" t="n"/>
      <c r="J26" s="12">
        <f>IF(OR(B26="",D26=""),"",IFERROR(IF(E26="税抜",D26,ROUND(D26/(1+IF(F26="",'設定'!$C$6,IF(F26&gt;=1,F26/100,F26))),2)),""))</f>
        <v/>
      </c>
      <c r="K26" s="13">
        <f>IFERROR(IF(OR(J26="",G26="",G26=0),"",ROUND(J26/G26,4)),"")</f>
        <v/>
      </c>
      <c r="L26" s="13">
        <f>IFERROR(IF(K26="","",IF(IF(I26="",1,IF(I26&gt;1,I26/100,I26))=0,"",ROUND(K26/IF(I26="",1,IF(I26&gt;1,I26/100,I26)),4))),"")</f>
        <v/>
      </c>
      <c r="M26" s="14">
        <f>IF(B26="","",IF(D26="","価格を入力",IF(OR(G26="",G26=0),"内容量を入力",IF(AND(I26&lt;&gt;"",I26=0),"歩留まりが0",IF(L26="","入力を確認","OK")))))</f>
        <v/>
      </c>
    </row>
    <row r="27">
      <c r="A27" s="7" t="n">
        <v>23</v>
      </c>
      <c r="B27" s="8" t="n"/>
      <c r="C27" s="8" t="n"/>
      <c r="D27" s="9" t="n"/>
      <c r="E27" s="8" t="n"/>
      <c r="F27" s="10" t="n"/>
      <c r="G27" s="11" t="n"/>
      <c r="H27" s="8" t="n"/>
      <c r="I27" s="10" t="n"/>
      <c r="J27" s="12">
        <f>IF(OR(B27="",D27=""),"",IFERROR(IF(E27="税抜",D27,ROUND(D27/(1+IF(F27="",'設定'!$C$6,IF(F27&gt;=1,F27/100,F27))),2)),""))</f>
        <v/>
      </c>
      <c r="K27" s="13">
        <f>IFERROR(IF(OR(J27="",G27="",G27=0),"",ROUND(J27/G27,4)),"")</f>
        <v/>
      </c>
      <c r="L27" s="13">
        <f>IFERROR(IF(K27="","",IF(IF(I27="",1,IF(I27&gt;1,I27/100,I27))=0,"",ROUND(K27/IF(I27="",1,IF(I27&gt;1,I27/100,I27)),4))),"")</f>
        <v/>
      </c>
      <c r="M27" s="14">
        <f>IF(B27="","",IF(D27="","価格を入力",IF(OR(G27="",G27=0),"内容量を入力",IF(AND(I27&lt;&gt;"",I27=0),"歩留まりが0",IF(L27="","入力を確認","OK")))))</f>
        <v/>
      </c>
    </row>
    <row r="28">
      <c r="A28" s="7" t="n">
        <v>24</v>
      </c>
      <c r="B28" s="8" t="n"/>
      <c r="C28" s="8" t="n"/>
      <c r="D28" s="9" t="n"/>
      <c r="E28" s="8" t="n"/>
      <c r="F28" s="10" t="n"/>
      <c r="G28" s="11" t="n"/>
      <c r="H28" s="8" t="n"/>
      <c r="I28" s="10" t="n"/>
      <c r="J28" s="12">
        <f>IF(OR(B28="",D28=""),"",IFERROR(IF(E28="税抜",D28,ROUND(D28/(1+IF(F28="",'設定'!$C$6,IF(F28&gt;=1,F28/100,F28))),2)),""))</f>
        <v/>
      </c>
      <c r="K28" s="13">
        <f>IFERROR(IF(OR(J28="",G28="",G28=0),"",ROUND(J28/G28,4)),"")</f>
        <v/>
      </c>
      <c r="L28" s="13">
        <f>IFERROR(IF(K28="","",IF(IF(I28="",1,IF(I28&gt;1,I28/100,I28))=0,"",ROUND(K28/IF(I28="",1,IF(I28&gt;1,I28/100,I28)),4))),"")</f>
        <v/>
      </c>
      <c r="M28" s="14">
        <f>IF(B28="","",IF(D28="","価格を入力",IF(OR(G28="",G28=0),"内容量を入力",IF(AND(I28&lt;&gt;"",I28=0),"歩留まりが0",IF(L28="","入力を確認","OK")))))</f>
        <v/>
      </c>
    </row>
    <row r="29">
      <c r="A29" s="7" t="n">
        <v>25</v>
      </c>
      <c r="B29" s="8" t="n"/>
      <c r="C29" s="8" t="n"/>
      <c r="D29" s="9" t="n"/>
      <c r="E29" s="8" t="n"/>
      <c r="F29" s="10" t="n"/>
      <c r="G29" s="11" t="n"/>
      <c r="H29" s="8" t="n"/>
      <c r="I29" s="10" t="n"/>
      <c r="J29" s="12">
        <f>IF(OR(B29="",D29=""),"",IFERROR(IF(E29="税抜",D29,ROUND(D29/(1+IF(F29="",'設定'!$C$6,IF(F29&gt;=1,F29/100,F29))),2)),""))</f>
        <v/>
      </c>
      <c r="K29" s="13">
        <f>IFERROR(IF(OR(J29="",G29="",G29=0),"",ROUND(J29/G29,4)),"")</f>
        <v/>
      </c>
      <c r="L29" s="13">
        <f>IFERROR(IF(K29="","",IF(IF(I29="",1,IF(I29&gt;1,I29/100,I29))=0,"",ROUND(K29/IF(I29="",1,IF(I29&gt;1,I29/100,I29)),4))),"")</f>
        <v/>
      </c>
      <c r="M29" s="14">
        <f>IF(B29="","",IF(D29="","価格を入力",IF(OR(G29="",G29=0),"内容量を入力",IF(AND(I29&lt;&gt;"",I29=0),"歩留まりが0",IF(L29="","入力を確認","OK")))))</f>
        <v/>
      </c>
    </row>
    <row r="30">
      <c r="A30" s="7" t="n">
        <v>26</v>
      </c>
      <c r="B30" s="8" t="n"/>
      <c r="C30" s="8" t="n"/>
      <c r="D30" s="9" t="n"/>
      <c r="E30" s="8" t="n"/>
      <c r="F30" s="10" t="n"/>
      <c r="G30" s="11" t="n"/>
      <c r="H30" s="8" t="n"/>
      <c r="I30" s="10" t="n"/>
      <c r="J30" s="12">
        <f>IF(OR(B30="",D30=""),"",IFERROR(IF(E30="税抜",D30,ROUND(D30/(1+IF(F30="",'設定'!$C$6,IF(F30&gt;=1,F30/100,F30))),2)),""))</f>
        <v/>
      </c>
      <c r="K30" s="13">
        <f>IFERROR(IF(OR(J30="",G30="",G30=0),"",ROUND(J30/G30,4)),"")</f>
        <v/>
      </c>
      <c r="L30" s="13">
        <f>IFERROR(IF(K30="","",IF(IF(I30="",1,IF(I30&gt;1,I30/100,I30))=0,"",ROUND(K30/IF(I30="",1,IF(I30&gt;1,I30/100,I30)),4))),"")</f>
        <v/>
      </c>
      <c r="M30" s="14">
        <f>IF(B30="","",IF(D30="","価格を入力",IF(OR(G30="",G30=0),"内容量を入力",IF(AND(I30&lt;&gt;"",I30=0),"歩留まりが0",IF(L30="","入力を確認","OK")))))</f>
        <v/>
      </c>
    </row>
    <row r="31">
      <c r="A31" s="7" t="n">
        <v>27</v>
      </c>
      <c r="B31" s="8" t="n"/>
      <c r="C31" s="8" t="n"/>
      <c r="D31" s="9" t="n"/>
      <c r="E31" s="8" t="n"/>
      <c r="F31" s="10" t="n"/>
      <c r="G31" s="11" t="n"/>
      <c r="H31" s="8" t="n"/>
      <c r="I31" s="10" t="n"/>
      <c r="J31" s="12">
        <f>IF(OR(B31="",D31=""),"",IFERROR(IF(E31="税抜",D31,ROUND(D31/(1+IF(F31="",'設定'!$C$6,IF(F31&gt;=1,F31/100,F31))),2)),""))</f>
        <v/>
      </c>
      <c r="K31" s="13">
        <f>IFERROR(IF(OR(J31="",G31="",G31=0),"",ROUND(J31/G31,4)),"")</f>
        <v/>
      </c>
      <c r="L31" s="13">
        <f>IFERROR(IF(K31="","",IF(IF(I31="",1,IF(I31&gt;1,I31/100,I31))=0,"",ROUND(K31/IF(I31="",1,IF(I31&gt;1,I31/100,I31)),4))),"")</f>
        <v/>
      </c>
      <c r="M31" s="14">
        <f>IF(B31="","",IF(D31="","価格を入力",IF(OR(G31="",G31=0),"内容量を入力",IF(AND(I31&lt;&gt;"",I31=0),"歩留まりが0",IF(L31="","入力を確認","OK")))))</f>
        <v/>
      </c>
    </row>
    <row r="32">
      <c r="A32" s="7" t="n">
        <v>28</v>
      </c>
      <c r="B32" s="8" t="n"/>
      <c r="C32" s="8" t="n"/>
      <c r="D32" s="9" t="n"/>
      <c r="E32" s="8" t="n"/>
      <c r="F32" s="10" t="n"/>
      <c r="G32" s="11" t="n"/>
      <c r="H32" s="8" t="n"/>
      <c r="I32" s="10" t="n"/>
      <c r="J32" s="12">
        <f>IF(OR(B32="",D32=""),"",IFERROR(IF(E32="税抜",D32,ROUND(D32/(1+IF(F32="",'設定'!$C$6,IF(F32&gt;=1,F32/100,F32))),2)),""))</f>
        <v/>
      </c>
      <c r="K32" s="13">
        <f>IFERROR(IF(OR(J32="",G32="",G32=0),"",ROUND(J32/G32,4)),"")</f>
        <v/>
      </c>
      <c r="L32" s="13">
        <f>IFERROR(IF(K32="","",IF(IF(I32="",1,IF(I32&gt;1,I32/100,I32))=0,"",ROUND(K32/IF(I32="",1,IF(I32&gt;1,I32/100,I32)),4))),"")</f>
        <v/>
      </c>
      <c r="M32" s="14">
        <f>IF(B32="","",IF(D32="","価格を入力",IF(OR(G32="",G32=0),"内容量を入力",IF(AND(I32&lt;&gt;"",I32=0),"歩留まりが0",IF(L32="","入力を確認","OK")))))</f>
        <v/>
      </c>
    </row>
    <row r="33">
      <c r="A33" s="7" t="n">
        <v>29</v>
      </c>
      <c r="B33" s="8" t="n"/>
      <c r="C33" s="8" t="n"/>
      <c r="D33" s="9" t="n"/>
      <c r="E33" s="8" t="n"/>
      <c r="F33" s="10" t="n"/>
      <c r="G33" s="11" t="n"/>
      <c r="H33" s="8" t="n"/>
      <c r="I33" s="10" t="n"/>
      <c r="J33" s="12">
        <f>IF(OR(B33="",D33=""),"",IFERROR(IF(E33="税抜",D33,ROUND(D33/(1+IF(F33="",'設定'!$C$6,IF(F33&gt;=1,F33/100,F33))),2)),""))</f>
        <v/>
      </c>
      <c r="K33" s="13">
        <f>IFERROR(IF(OR(J33="",G33="",G33=0),"",ROUND(J33/G33,4)),"")</f>
        <v/>
      </c>
      <c r="L33" s="13">
        <f>IFERROR(IF(K33="","",IF(IF(I33="",1,IF(I33&gt;1,I33/100,I33))=0,"",ROUND(K33/IF(I33="",1,IF(I33&gt;1,I33/100,I33)),4))),"")</f>
        <v/>
      </c>
      <c r="M33" s="14">
        <f>IF(B33="","",IF(D33="","価格を入力",IF(OR(G33="",G33=0),"内容量を入力",IF(AND(I33&lt;&gt;"",I33=0),"歩留まりが0",IF(L33="","入力を確認","OK")))))</f>
        <v/>
      </c>
    </row>
    <row r="34">
      <c r="A34" s="7" t="n">
        <v>30</v>
      </c>
      <c r="B34" s="8" t="n"/>
      <c r="C34" s="8" t="n"/>
      <c r="D34" s="9" t="n"/>
      <c r="E34" s="8" t="n"/>
      <c r="F34" s="10" t="n"/>
      <c r="G34" s="11" t="n"/>
      <c r="H34" s="8" t="n"/>
      <c r="I34" s="10" t="n"/>
      <c r="J34" s="12">
        <f>IF(OR(B34="",D34=""),"",IFERROR(IF(E34="税抜",D34,ROUND(D34/(1+IF(F34="",'設定'!$C$6,IF(F34&gt;=1,F34/100,F34))),2)),""))</f>
        <v/>
      </c>
      <c r="K34" s="13">
        <f>IFERROR(IF(OR(J34="",G34="",G34=0),"",ROUND(J34/G34,4)),"")</f>
        <v/>
      </c>
      <c r="L34" s="13">
        <f>IFERROR(IF(K34="","",IF(IF(I34="",1,IF(I34&gt;1,I34/100,I34))=0,"",ROUND(K34/IF(I34="",1,IF(I34&gt;1,I34/100,I34)),4))),"")</f>
        <v/>
      </c>
      <c r="M34" s="14">
        <f>IF(B34="","",IF(D34="","価格を入力",IF(OR(G34="",G34=0),"内容量を入力",IF(AND(I34&lt;&gt;"",I34=0),"歩留まりが0",IF(L34="","入力を確認","OK")))))</f>
        <v/>
      </c>
    </row>
    <row r="35">
      <c r="A35" s="7" t="n">
        <v>31</v>
      </c>
      <c r="B35" s="8" t="n"/>
      <c r="C35" s="8" t="n"/>
      <c r="D35" s="9" t="n"/>
      <c r="E35" s="8" t="n"/>
      <c r="F35" s="10" t="n"/>
      <c r="G35" s="11" t="n"/>
      <c r="H35" s="8" t="n"/>
      <c r="I35" s="10" t="n"/>
      <c r="J35" s="12">
        <f>IF(OR(B35="",D35=""),"",IFERROR(IF(E35="税抜",D35,ROUND(D35/(1+IF(F35="",'設定'!$C$6,IF(F35&gt;=1,F35/100,F35))),2)),""))</f>
        <v/>
      </c>
      <c r="K35" s="13">
        <f>IFERROR(IF(OR(J35="",G35="",G35=0),"",ROUND(J35/G35,4)),"")</f>
        <v/>
      </c>
      <c r="L35" s="13">
        <f>IFERROR(IF(K35="","",IF(IF(I35="",1,IF(I35&gt;1,I35/100,I35))=0,"",ROUND(K35/IF(I35="",1,IF(I35&gt;1,I35/100,I35)),4))),"")</f>
        <v/>
      </c>
      <c r="M35" s="14">
        <f>IF(B35="","",IF(D35="","価格を入力",IF(OR(G35="",G35=0),"内容量を入力",IF(AND(I35&lt;&gt;"",I35=0),"歩留まりが0",IF(L35="","入力を確認","OK")))))</f>
        <v/>
      </c>
    </row>
    <row r="36">
      <c r="A36" s="7" t="n">
        <v>32</v>
      </c>
      <c r="B36" s="8" t="n"/>
      <c r="C36" s="8" t="n"/>
      <c r="D36" s="9" t="n"/>
      <c r="E36" s="8" t="n"/>
      <c r="F36" s="10" t="n"/>
      <c r="G36" s="11" t="n"/>
      <c r="H36" s="8" t="n"/>
      <c r="I36" s="10" t="n"/>
      <c r="J36" s="12">
        <f>IF(OR(B36="",D36=""),"",IFERROR(IF(E36="税抜",D36,ROUND(D36/(1+IF(F36="",'設定'!$C$6,IF(F36&gt;=1,F36/100,F36))),2)),""))</f>
        <v/>
      </c>
      <c r="K36" s="13">
        <f>IFERROR(IF(OR(J36="",G36="",G36=0),"",ROUND(J36/G36,4)),"")</f>
        <v/>
      </c>
      <c r="L36" s="13">
        <f>IFERROR(IF(K36="","",IF(IF(I36="",1,IF(I36&gt;1,I36/100,I36))=0,"",ROUND(K36/IF(I36="",1,IF(I36&gt;1,I36/100,I36)),4))),"")</f>
        <v/>
      </c>
      <c r="M36" s="14">
        <f>IF(B36="","",IF(D36="","価格を入力",IF(OR(G36="",G36=0),"内容量を入力",IF(AND(I36&lt;&gt;"",I36=0),"歩留まりが0",IF(L36="","入力を確認","OK")))))</f>
        <v/>
      </c>
    </row>
    <row r="37">
      <c r="A37" s="7" t="n">
        <v>33</v>
      </c>
      <c r="B37" s="8" t="n"/>
      <c r="C37" s="8" t="n"/>
      <c r="D37" s="9" t="n"/>
      <c r="E37" s="8" t="n"/>
      <c r="F37" s="10" t="n"/>
      <c r="G37" s="11" t="n"/>
      <c r="H37" s="8" t="n"/>
      <c r="I37" s="10" t="n"/>
      <c r="J37" s="12">
        <f>IF(OR(B37="",D37=""),"",IFERROR(IF(E37="税抜",D37,ROUND(D37/(1+IF(F37="",'設定'!$C$6,IF(F37&gt;=1,F37/100,F37))),2)),""))</f>
        <v/>
      </c>
      <c r="K37" s="13">
        <f>IFERROR(IF(OR(J37="",G37="",G37=0),"",ROUND(J37/G37,4)),"")</f>
        <v/>
      </c>
      <c r="L37" s="13">
        <f>IFERROR(IF(K37="","",IF(IF(I37="",1,IF(I37&gt;1,I37/100,I37))=0,"",ROUND(K37/IF(I37="",1,IF(I37&gt;1,I37/100,I37)),4))),"")</f>
        <v/>
      </c>
      <c r="M37" s="14">
        <f>IF(B37="","",IF(D37="","価格を入力",IF(OR(G37="",G37=0),"内容量を入力",IF(AND(I37&lt;&gt;"",I37=0),"歩留まりが0",IF(L37="","入力を確認","OK")))))</f>
        <v/>
      </c>
    </row>
    <row r="38">
      <c r="A38" s="7" t="n">
        <v>34</v>
      </c>
      <c r="B38" s="8" t="n"/>
      <c r="C38" s="8" t="n"/>
      <c r="D38" s="9" t="n"/>
      <c r="E38" s="8" t="n"/>
      <c r="F38" s="10" t="n"/>
      <c r="G38" s="11" t="n"/>
      <c r="H38" s="8" t="n"/>
      <c r="I38" s="10" t="n"/>
      <c r="J38" s="12">
        <f>IF(OR(B38="",D38=""),"",IFERROR(IF(E38="税抜",D38,ROUND(D38/(1+IF(F38="",'設定'!$C$6,IF(F38&gt;=1,F38/100,F38))),2)),""))</f>
        <v/>
      </c>
      <c r="K38" s="13">
        <f>IFERROR(IF(OR(J38="",G38="",G38=0),"",ROUND(J38/G38,4)),"")</f>
        <v/>
      </c>
      <c r="L38" s="13">
        <f>IFERROR(IF(K38="","",IF(IF(I38="",1,IF(I38&gt;1,I38/100,I38))=0,"",ROUND(K38/IF(I38="",1,IF(I38&gt;1,I38/100,I38)),4))),"")</f>
        <v/>
      </c>
      <c r="M38" s="14">
        <f>IF(B38="","",IF(D38="","価格を入力",IF(OR(G38="",G38=0),"内容量を入力",IF(AND(I38&lt;&gt;"",I38=0),"歩留まりが0",IF(L38="","入力を確認","OK")))))</f>
        <v/>
      </c>
    </row>
    <row r="39">
      <c r="A39" s="7" t="n">
        <v>35</v>
      </c>
      <c r="B39" s="8" t="n"/>
      <c r="C39" s="8" t="n"/>
      <c r="D39" s="9" t="n"/>
      <c r="E39" s="8" t="n"/>
      <c r="F39" s="10" t="n"/>
      <c r="G39" s="11" t="n"/>
      <c r="H39" s="8" t="n"/>
      <c r="I39" s="10" t="n"/>
      <c r="J39" s="12">
        <f>IF(OR(B39="",D39=""),"",IFERROR(IF(E39="税抜",D39,ROUND(D39/(1+IF(F39="",'設定'!$C$6,IF(F39&gt;=1,F39/100,F39))),2)),""))</f>
        <v/>
      </c>
      <c r="K39" s="13">
        <f>IFERROR(IF(OR(J39="",G39="",G39=0),"",ROUND(J39/G39,4)),"")</f>
        <v/>
      </c>
      <c r="L39" s="13">
        <f>IFERROR(IF(K39="","",IF(IF(I39="",1,IF(I39&gt;1,I39/100,I39))=0,"",ROUND(K39/IF(I39="",1,IF(I39&gt;1,I39/100,I39)),4))),"")</f>
        <v/>
      </c>
      <c r="M39" s="14">
        <f>IF(B39="","",IF(D39="","価格を入力",IF(OR(G39="",G39=0),"内容量を入力",IF(AND(I39&lt;&gt;"",I39=0),"歩留まりが0",IF(L39="","入力を確認","OK")))))</f>
        <v/>
      </c>
    </row>
    <row r="40">
      <c r="A40" s="7" t="n">
        <v>36</v>
      </c>
      <c r="B40" s="8" t="n"/>
      <c r="C40" s="8" t="n"/>
      <c r="D40" s="9" t="n"/>
      <c r="E40" s="8" t="n"/>
      <c r="F40" s="10" t="n"/>
      <c r="G40" s="11" t="n"/>
      <c r="H40" s="8" t="n"/>
      <c r="I40" s="10" t="n"/>
      <c r="J40" s="12">
        <f>IF(OR(B40="",D40=""),"",IFERROR(IF(E40="税抜",D40,ROUND(D40/(1+IF(F40="",'設定'!$C$6,IF(F40&gt;=1,F40/100,F40))),2)),""))</f>
        <v/>
      </c>
      <c r="K40" s="13">
        <f>IFERROR(IF(OR(J40="",G40="",G40=0),"",ROUND(J40/G40,4)),"")</f>
        <v/>
      </c>
      <c r="L40" s="13">
        <f>IFERROR(IF(K40="","",IF(IF(I40="",1,IF(I40&gt;1,I40/100,I40))=0,"",ROUND(K40/IF(I40="",1,IF(I40&gt;1,I40/100,I40)),4))),"")</f>
        <v/>
      </c>
      <c r="M40" s="14">
        <f>IF(B40="","",IF(D40="","価格を入力",IF(OR(G40="",G40=0),"内容量を入力",IF(AND(I40&lt;&gt;"",I40=0),"歩留まりが0",IF(L40="","入力を確認","OK")))))</f>
        <v/>
      </c>
    </row>
    <row r="41">
      <c r="A41" s="7" t="n">
        <v>37</v>
      </c>
      <c r="B41" s="8" t="n"/>
      <c r="C41" s="8" t="n"/>
      <c r="D41" s="9" t="n"/>
      <c r="E41" s="8" t="n"/>
      <c r="F41" s="10" t="n"/>
      <c r="G41" s="11" t="n"/>
      <c r="H41" s="8" t="n"/>
      <c r="I41" s="10" t="n"/>
      <c r="J41" s="12">
        <f>IF(OR(B41="",D41=""),"",IFERROR(IF(E41="税抜",D41,ROUND(D41/(1+IF(F41="",'設定'!$C$6,IF(F41&gt;=1,F41/100,F41))),2)),""))</f>
        <v/>
      </c>
      <c r="K41" s="13">
        <f>IFERROR(IF(OR(J41="",G41="",G41=0),"",ROUND(J41/G41,4)),"")</f>
        <v/>
      </c>
      <c r="L41" s="13">
        <f>IFERROR(IF(K41="","",IF(IF(I41="",1,IF(I41&gt;1,I41/100,I41))=0,"",ROUND(K41/IF(I41="",1,IF(I41&gt;1,I41/100,I41)),4))),"")</f>
        <v/>
      </c>
      <c r="M41" s="14">
        <f>IF(B41="","",IF(D41="","価格を入力",IF(OR(G41="",G41=0),"内容量を入力",IF(AND(I41&lt;&gt;"",I41=0),"歩留まりが0",IF(L41="","入力を確認","OK")))))</f>
        <v/>
      </c>
    </row>
    <row r="42">
      <c r="A42" s="7" t="n">
        <v>38</v>
      </c>
      <c r="B42" s="8" t="n"/>
      <c r="C42" s="8" t="n"/>
      <c r="D42" s="9" t="n"/>
      <c r="E42" s="8" t="n"/>
      <c r="F42" s="10" t="n"/>
      <c r="G42" s="11" t="n"/>
      <c r="H42" s="8" t="n"/>
      <c r="I42" s="10" t="n"/>
      <c r="J42" s="12">
        <f>IF(OR(B42="",D42=""),"",IFERROR(IF(E42="税抜",D42,ROUND(D42/(1+IF(F42="",'設定'!$C$6,IF(F42&gt;=1,F42/100,F42))),2)),""))</f>
        <v/>
      </c>
      <c r="K42" s="13">
        <f>IFERROR(IF(OR(J42="",G42="",G42=0),"",ROUND(J42/G42,4)),"")</f>
        <v/>
      </c>
      <c r="L42" s="13">
        <f>IFERROR(IF(K42="","",IF(IF(I42="",1,IF(I42&gt;1,I42/100,I42))=0,"",ROUND(K42/IF(I42="",1,IF(I42&gt;1,I42/100,I42)),4))),"")</f>
        <v/>
      </c>
      <c r="M42" s="14">
        <f>IF(B42="","",IF(D42="","価格を入力",IF(OR(G42="",G42=0),"内容量を入力",IF(AND(I42&lt;&gt;"",I42=0),"歩留まりが0",IF(L42="","入力を確認","OK")))))</f>
        <v/>
      </c>
    </row>
    <row r="43">
      <c r="A43" s="7" t="n">
        <v>39</v>
      </c>
      <c r="B43" s="8" t="n"/>
      <c r="C43" s="8" t="n"/>
      <c r="D43" s="9" t="n"/>
      <c r="E43" s="8" t="n"/>
      <c r="F43" s="10" t="n"/>
      <c r="G43" s="11" t="n"/>
      <c r="H43" s="8" t="n"/>
      <c r="I43" s="10" t="n"/>
      <c r="J43" s="12">
        <f>IF(OR(B43="",D43=""),"",IFERROR(IF(E43="税抜",D43,ROUND(D43/(1+IF(F43="",'設定'!$C$6,IF(F43&gt;=1,F43/100,F43))),2)),""))</f>
        <v/>
      </c>
      <c r="K43" s="13">
        <f>IFERROR(IF(OR(J43="",G43="",G43=0),"",ROUND(J43/G43,4)),"")</f>
        <v/>
      </c>
      <c r="L43" s="13">
        <f>IFERROR(IF(K43="","",IF(IF(I43="",1,IF(I43&gt;1,I43/100,I43))=0,"",ROUND(K43/IF(I43="",1,IF(I43&gt;1,I43/100,I43)),4))),"")</f>
        <v/>
      </c>
      <c r="M43" s="14">
        <f>IF(B43="","",IF(D43="","価格を入力",IF(OR(G43="",G43=0),"内容量を入力",IF(AND(I43&lt;&gt;"",I43=0),"歩留まりが0",IF(L43="","入力を確認","OK")))))</f>
        <v/>
      </c>
    </row>
    <row r="44">
      <c r="A44" s="7" t="n">
        <v>40</v>
      </c>
      <c r="B44" s="8" t="n"/>
      <c r="C44" s="8" t="n"/>
      <c r="D44" s="9" t="n"/>
      <c r="E44" s="8" t="n"/>
      <c r="F44" s="10" t="n"/>
      <c r="G44" s="11" t="n"/>
      <c r="H44" s="8" t="n"/>
      <c r="I44" s="10" t="n"/>
      <c r="J44" s="12">
        <f>IF(OR(B44="",D44=""),"",IFERROR(IF(E44="税抜",D44,ROUND(D44/(1+IF(F44="",'設定'!$C$6,IF(F44&gt;=1,F44/100,F44))),2)),""))</f>
        <v/>
      </c>
      <c r="K44" s="13">
        <f>IFERROR(IF(OR(J44="",G44="",G44=0),"",ROUND(J44/G44,4)),"")</f>
        <v/>
      </c>
      <c r="L44" s="13">
        <f>IFERROR(IF(K44="","",IF(IF(I44="",1,IF(I44&gt;1,I44/100,I44))=0,"",ROUND(K44/IF(I44="",1,IF(I44&gt;1,I44/100,I44)),4))),"")</f>
        <v/>
      </c>
      <c r="M44" s="14">
        <f>IF(B44="","",IF(D44="","価格を入力",IF(OR(G44="",G44=0),"内容量を入力",IF(AND(I44&lt;&gt;"",I44=0),"歩留まりが0",IF(L44="","入力を確認","OK")))))</f>
        <v/>
      </c>
    </row>
    <row r="45">
      <c r="A45" s="7" t="n">
        <v>41</v>
      </c>
      <c r="B45" s="8" t="n"/>
      <c r="C45" s="8" t="n"/>
      <c r="D45" s="9" t="n"/>
      <c r="E45" s="8" t="n"/>
      <c r="F45" s="10" t="n"/>
      <c r="G45" s="11" t="n"/>
      <c r="H45" s="8" t="n"/>
      <c r="I45" s="10" t="n"/>
      <c r="J45" s="12">
        <f>IF(OR(B45="",D45=""),"",IFERROR(IF(E45="税抜",D45,ROUND(D45/(1+IF(F45="",'設定'!$C$6,IF(F45&gt;=1,F45/100,F45))),2)),""))</f>
        <v/>
      </c>
      <c r="K45" s="13">
        <f>IFERROR(IF(OR(J45="",G45="",G45=0),"",ROUND(J45/G45,4)),"")</f>
        <v/>
      </c>
      <c r="L45" s="13">
        <f>IFERROR(IF(K45="","",IF(IF(I45="",1,IF(I45&gt;1,I45/100,I45))=0,"",ROUND(K45/IF(I45="",1,IF(I45&gt;1,I45/100,I45)),4))),"")</f>
        <v/>
      </c>
      <c r="M45" s="14">
        <f>IF(B45="","",IF(D45="","価格を入力",IF(OR(G45="",G45=0),"内容量を入力",IF(AND(I45&lt;&gt;"",I45=0),"歩留まりが0",IF(L45="","入力を確認","OK")))))</f>
        <v/>
      </c>
    </row>
    <row r="46">
      <c r="A46" s="7" t="n">
        <v>42</v>
      </c>
      <c r="B46" s="8" t="n"/>
      <c r="C46" s="8" t="n"/>
      <c r="D46" s="9" t="n"/>
      <c r="E46" s="8" t="n"/>
      <c r="F46" s="10" t="n"/>
      <c r="G46" s="11" t="n"/>
      <c r="H46" s="8" t="n"/>
      <c r="I46" s="10" t="n"/>
      <c r="J46" s="12">
        <f>IF(OR(B46="",D46=""),"",IFERROR(IF(E46="税抜",D46,ROUND(D46/(1+IF(F46="",'設定'!$C$6,IF(F46&gt;=1,F46/100,F46))),2)),""))</f>
        <v/>
      </c>
      <c r="K46" s="13">
        <f>IFERROR(IF(OR(J46="",G46="",G46=0),"",ROUND(J46/G46,4)),"")</f>
        <v/>
      </c>
      <c r="L46" s="13">
        <f>IFERROR(IF(K46="","",IF(IF(I46="",1,IF(I46&gt;1,I46/100,I46))=0,"",ROUND(K46/IF(I46="",1,IF(I46&gt;1,I46/100,I46)),4))),"")</f>
        <v/>
      </c>
      <c r="M46" s="14">
        <f>IF(B46="","",IF(D46="","価格を入力",IF(OR(G46="",G46=0),"内容量を入力",IF(AND(I46&lt;&gt;"",I46=0),"歩留まりが0",IF(L46="","入力を確認","OK")))))</f>
        <v/>
      </c>
    </row>
    <row r="47">
      <c r="A47" s="7" t="n">
        <v>43</v>
      </c>
      <c r="B47" s="8" t="n"/>
      <c r="C47" s="8" t="n"/>
      <c r="D47" s="9" t="n"/>
      <c r="E47" s="8" t="n"/>
      <c r="F47" s="10" t="n"/>
      <c r="G47" s="11" t="n"/>
      <c r="H47" s="8" t="n"/>
      <c r="I47" s="10" t="n"/>
      <c r="J47" s="12">
        <f>IF(OR(B47="",D47=""),"",IFERROR(IF(E47="税抜",D47,ROUND(D47/(1+IF(F47="",'設定'!$C$6,IF(F47&gt;=1,F47/100,F47))),2)),""))</f>
        <v/>
      </c>
      <c r="K47" s="13">
        <f>IFERROR(IF(OR(J47="",G47="",G47=0),"",ROUND(J47/G47,4)),"")</f>
        <v/>
      </c>
      <c r="L47" s="13">
        <f>IFERROR(IF(K47="","",IF(IF(I47="",1,IF(I47&gt;1,I47/100,I47))=0,"",ROUND(K47/IF(I47="",1,IF(I47&gt;1,I47/100,I47)),4))),"")</f>
        <v/>
      </c>
      <c r="M47" s="14">
        <f>IF(B47="","",IF(D47="","価格を入力",IF(OR(G47="",G47=0),"内容量を入力",IF(AND(I47&lt;&gt;"",I47=0),"歩留まりが0",IF(L47="","入力を確認","OK")))))</f>
        <v/>
      </c>
    </row>
    <row r="48">
      <c r="A48" s="7" t="n">
        <v>44</v>
      </c>
      <c r="B48" s="8" t="n"/>
      <c r="C48" s="8" t="n"/>
      <c r="D48" s="9" t="n"/>
      <c r="E48" s="8" t="n"/>
      <c r="F48" s="10" t="n"/>
      <c r="G48" s="11" t="n"/>
      <c r="H48" s="8" t="n"/>
      <c r="I48" s="10" t="n"/>
      <c r="J48" s="12">
        <f>IF(OR(B48="",D48=""),"",IFERROR(IF(E48="税抜",D48,ROUND(D48/(1+IF(F48="",'設定'!$C$6,IF(F48&gt;=1,F48/100,F48))),2)),""))</f>
        <v/>
      </c>
      <c r="K48" s="13">
        <f>IFERROR(IF(OR(J48="",G48="",G48=0),"",ROUND(J48/G48,4)),"")</f>
        <v/>
      </c>
      <c r="L48" s="13">
        <f>IFERROR(IF(K48="","",IF(IF(I48="",1,IF(I48&gt;1,I48/100,I48))=0,"",ROUND(K48/IF(I48="",1,IF(I48&gt;1,I48/100,I48)),4))),"")</f>
        <v/>
      </c>
      <c r="M48" s="14">
        <f>IF(B48="","",IF(D48="","価格を入力",IF(OR(G48="",G48=0),"内容量を入力",IF(AND(I48&lt;&gt;"",I48=0),"歩留まりが0",IF(L48="","入力を確認","OK")))))</f>
        <v/>
      </c>
    </row>
    <row r="49">
      <c r="A49" s="7" t="n">
        <v>45</v>
      </c>
      <c r="B49" s="8" t="n"/>
      <c r="C49" s="8" t="n"/>
      <c r="D49" s="9" t="n"/>
      <c r="E49" s="8" t="n"/>
      <c r="F49" s="10" t="n"/>
      <c r="G49" s="11" t="n"/>
      <c r="H49" s="8" t="n"/>
      <c r="I49" s="10" t="n"/>
      <c r="J49" s="12">
        <f>IF(OR(B49="",D49=""),"",IFERROR(IF(E49="税抜",D49,ROUND(D49/(1+IF(F49="",'設定'!$C$6,IF(F49&gt;=1,F49/100,F49))),2)),""))</f>
        <v/>
      </c>
      <c r="K49" s="13">
        <f>IFERROR(IF(OR(J49="",G49="",G49=0),"",ROUND(J49/G49,4)),"")</f>
        <v/>
      </c>
      <c r="L49" s="13">
        <f>IFERROR(IF(K49="","",IF(IF(I49="",1,IF(I49&gt;1,I49/100,I49))=0,"",ROUND(K49/IF(I49="",1,IF(I49&gt;1,I49/100,I49)),4))),"")</f>
        <v/>
      </c>
      <c r="M49" s="14">
        <f>IF(B49="","",IF(D49="","価格を入力",IF(OR(G49="",G49=0),"内容量を入力",IF(AND(I49&lt;&gt;"",I49=0),"歩留まりが0",IF(L49="","入力を確認","OK")))))</f>
        <v/>
      </c>
    </row>
    <row r="50">
      <c r="A50" s="7" t="n">
        <v>46</v>
      </c>
      <c r="B50" s="8" t="n"/>
      <c r="C50" s="8" t="n"/>
      <c r="D50" s="9" t="n"/>
      <c r="E50" s="8" t="n"/>
      <c r="F50" s="10" t="n"/>
      <c r="G50" s="11" t="n"/>
      <c r="H50" s="8" t="n"/>
      <c r="I50" s="10" t="n"/>
      <c r="J50" s="12">
        <f>IF(OR(B50="",D50=""),"",IFERROR(IF(E50="税抜",D50,ROUND(D50/(1+IF(F50="",'設定'!$C$6,IF(F50&gt;=1,F50/100,F50))),2)),""))</f>
        <v/>
      </c>
      <c r="K50" s="13">
        <f>IFERROR(IF(OR(J50="",G50="",G50=0),"",ROUND(J50/G50,4)),"")</f>
        <v/>
      </c>
      <c r="L50" s="13">
        <f>IFERROR(IF(K50="","",IF(IF(I50="",1,IF(I50&gt;1,I50/100,I50))=0,"",ROUND(K50/IF(I50="",1,IF(I50&gt;1,I50/100,I50)),4))),"")</f>
        <v/>
      </c>
      <c r="M50" s="14">
        <f>IF(B50="","",IF(D50="","価格を入力",IF(OR(G50="",G50=0),"内容量を入力",IF(AND(I50&lt;&gt;"",I50=0),"歩留まりが0",IF(L50="","入力を確認","OK")))))</f>
        <v/>
      </c>
    </row>
    <row r="51">
      <c r="A51" s="7" t="n">
        <v>47</v>
      </c>
      <c r="B51" s="8" t="n"/>
      <c r="C51" s="8" t="n"/>
      <c r="D51" s="9" t="n"/>
      <c r="E51" s="8" t="n"/>
      <c r="F51" s="10" t="n"/>
      <c r="G51" s="11" t="n"/>
      <c r="H51" s="8" t="n"/>
      <c r="I51" s="10" t="n"/>
      <c r="J51" s="12">
        <f>IF(OR(B51="",D51=""),"",IFERROR(IF(E51="税抜",D51,ROUND(D51/(1+IF(F51="",'設定'!$C$6,IF(F51&gt;=1,F51/100,F51))),2)),""))</f>
        <v/>
      </c>
      <c r="K51" s="13">
        <f>IFERROR(IF(OR(J51="",G51="",G51=0),"",ROUND(J51/G51,4)),"")</f>
        <v/>
      </c>
      <c r="L51" s="13">
        <f>IFERROR(IF(K51="","",IF(IF(I51="",1,IF(I51&gt;1,I51/100,I51))=0,"",ROUND(K51/IF(I51="",1,IF(I51&gt;1,I51/100,I51)),4))),"")</f>
        <v/>
      </c>
      <c r="M51" s="14">
        <f>IF(B51="","",IF(D51="","価格を入力",IF(OR(G51="",G51=0),"内容量を入力",IF(AND(I51&lt;&gt;"",I51=0),"歩留まりが0",IF(L51="","入力を確認","OK")))))</f>
        <v/>
      </c>
    </row>
    <row r="52">
      <c r="A52" s="7" t="n">
        <v>48</v>
      </c>
      <c r="B52" s="8" t="n"/>
      <c r="C52" s="8" t="n"/>
      <c r="D52" s="9" t="n"/>
      <c r="E52" s="8" t="n"/>
      <c r="F52" s="10" t="n"/>
      <c r="G52" s="11" t="n"/>
      <c r="H52" s="8" t="n"/>
      <c r="I52" s="10" t="n"/>
      <c r="J52" s="12">
        <f>IF(OR(B52="",D52=""),"",IFERROR(IF(E52="税抜",D52,ROUND(D52/(1+IF(F52="",'設定'!$C$6,IF(F52&gt;=1,F52/100,F52))),2)),""))</f>
        <v/>
      </c>
      <c r="K52" s="13">
        <f>IFERROR(IF(OR(J52="",G52="",G52=0),"",ROUND(J52/G52,4)),"")</f>
        <v/>
      </c>
      <c r="L52" s="13">
        <f>IFERROR(IF(K52="","",IF(IF(I52="",1,IF(I52&gt;1,I52/100,I52))=0,"",ROUND(K52/IF(I52="",1,IF(I52&gt;1,I52/100,I52)),4))),"")</f>
        <v/>
      </c>
      <c r="M52" s="14">
        <f>IF(B52="","",IF(D52="","価格を入力",IF(OR(G52="",G52=0),"内容量を入力",IF(AND(I52&lt;&gt;"",I52=0),"歩留まりが0",IF(L52="","入力を確認","OK")))))</f>
        <v/>
      </c>
    </row>
    <row r="53">
      <c r="A53" s="7" t="n">
        <v>49</v>
      </c>
      <c r="B53" s="8" t="n"/>
      <c r="C53" s="8" t="n"/>
      <c r="D53" s="9" t="n"/>
      <c r="E53" s="8" t="n"/>
      <c r="F53" s="10" t="n"/>
      <c r="G53" s="11" t="n"/>
      <c r="H53" s="8" t="n"/>
      <c r="I53" s="10" t="n"/>
      <c r="J53" s="12">
        <f>IF(OR(B53="",D53=""),"",IFERROR(IF(E53="税抜",D53,ROUND(D53/(1+IF(F53="",'設定'!$C$6,IF(F53&gt;=1,F53/100,F53))),2)),""))</f>
        <v/>
      </c>
      <c r="K53" s="13">
        <f>IFERROR(IF(OR(J53="",G53="",G53=0),"",ROUND(J53/G53,4)),"")</f>
        <v/>
      </c>
      <c r="L53" s="13">
        <f>IFERROR(IF(K53="","",IF(IF(I53="",1,IF(I53&gt;1,I53/100,I53))=0,"",ROUND(K53/IF(I53="",1,IF(I53&gt;1,I53/100,I53)),4))),"")</f>
        <v/>
      </c>
      <c r="M53" s="14">
        <f>IF(B53="","",IF(D53="","価格を入力",IF(OR(G53="",G53=0),"内容量を入力",IF(AND(I53&lt;&gt;"",I53=0),"歩留まりが0",IF(L53="","入力を確認","OK")))))</f>
        <v/>
      </c>
    </row>
    <row r="54">
      <c r="A54" s="7" t="n">
        <v>50</v>
      </c>
      <c r="B54" s="8" t="n"/>
      <c r="C54" s="8" t="n"/>
      <c r="D54" s="9" t="n"/>
      <c r="E54" s="8" t="n"/>
      <c r="F54" s="10" t="n"/>
      <c r="G54" s="11" t="n"/>
      <c r="H54" s="8" t="n"/>
      <c r="I54" s="10" t="n"/>
      <c r="J54" s="12">
        <f>IF(OR(B54="",D54=""),"",IFERROR(IF(E54="税抜",D54,ROUND(D54/(1+IF(F54="",'設定'!$C$6,IF(F54&gt;=1,F54/100,F54))),2)),""))</f>
        <v/>
      </c>
      <c r="K54" s="13">
        <f>IFERROR(IF(OR(J54="",G54="",G54=0),"",ROUND(J54/G54,4)),"")</f>
        <v/>
      </c>
      <c r="L54" s="13">
        <f>IFERROR(IF(K54="","",IF(IF(I54="",1,IF(I54&gt;1,I54/100,I54))=0,"",ROUND(K54/IF(I54="",1,IF(I54&gt;1,I54/100,I54)),4))),"")</f>
        <v/>
      </c>
      <c r="M54" s="14">
        <f>IF(B54="","",IF(D54="","価格を入力",IF(OR(G54="",G54=0),"内容量を入力",IF(AND(I54&lt;&gt;"",I54=0),"歩留まりが0",IF(L54="","入力を確認","OK")))))</f>
        <v/>
      </c>
    </row>
    <row r="55">
      <c r="A55" s="7" t="n">
        <v>51</v>
      </c>
      <c r="B55" s="8" t="n"/>
      <c r="C55" s="8" t="n"/>
      <c r="D55" s="9" t="n"/>
      <c r="E55" s="8" t="n"/>
      <c r="F55" s="10" t="n"/>
      <c r="G55" s="11" t="n"/>
      <c r="H55" s="8" t="n"/>
      <c r="I55" s="10" t="n"/>
      <c r="J55" s="12">
        <f>IF(OR(B55="",D55=""),"",IFERROR(IF(E55="税抜",D55,ROUND(D55/(1+IF(F55="",'設定'!$C$6,IF(F55&gt;=1,F55/100,F55))),2)),""))</f>
        <v/>
      </c>
      <c r="K55" s="13">
        <f>IFERROR(IF(OR(J55="",G55="",G55=0),"",ROUND(J55/G55,4)),"")</f>
        <v/>
      </c>
      <c r="L55" s="13">
        <f>IFERROR(IF(K55="","",IF(IF(I55="",1,IF(I55&gt;1,I55/100,I55))=0,"",ROUND(K55/IF(I55="",1,IF(I55&gt;1,I55/100,I55)),4))),"")</f>
        <v/>
      </c>
      <c r="M55" s="14">
        <f>IF(B55="","",IF(D55="","価格を入力",IF(OR(G55="",G55=0),"内容量を入力",IF(AND(I55&lt;&gt;"",I55=0),"歩留まりが0",IF(L55="","入力を確認","OK")))))</f>
        <v/>
      </c>
    </row>
    <row r="56">
      <c r="A56" s="7" t="n">
        <v>52</v>
      </c>
      <c r="B56" s="8" t="n"/>
      <c r="C56" s="8" t="n"/>
      <c r="D56" s="9" t="n"/>
      <c r="E56" s="8" t="n"/>
      <c r="F56" s="10" t="n"/>
      <c r="G56" s="11" t="n"/>
      <c r="H56" s="8" t="n"/>
      <c r="I56" s="10" t="n"/>
      <c r="J56" s="12">
        <f>IF(OR(B56="",D56=""),"",IFERROR(IF(E56="税抜",D56,ROUND(D56/(1+IF(F56="",'設定'!$C$6,IF(F56&gt;=1,F56/100,F56))),2)),""))</f>
        <v/>
      </c>
      <c r="K56" s="13">
        <f>IFERROR(IF(OR(J56="",G56="",G56=0),"",ROUND(J56/G56,4)),"")</f>
        <v/>
      </c>
      <c r="L56" s="13">
        <f>IFERROR(IF(K56="","",IF(IF(I56="",1,IF(I56&gt;1,I56/100,I56))=0,"",ROUND(K56/IF(I56="",1,IF(I56&gt;1,I56/100,I56)),4))),"")</f>
        <v/>
      </c>
      <c r="M56" s="14">
        <f>IF(B56="","",IF(D56="","価格を入力",IF(OR(G56="",G56=0),"内容量を入力",IF(AND(I56&lt;&gt;"",I56=0),"歩留まりが0",IF(L56="","入力を確認","OK")))))</f>
        <v/>
      </c>
    </row>
    <row r="57">
      <c r="A57" s="7" t="n">
        <v>53</v>
      </c>
      <c r="B57" s="8" t="n"/>
      <c r="C57" s="8" t="n"/>
      <c r="D57" s="9" t="n"/>
      <c r="E57" s="8" t="n"/>
      <c r="F57" s="10" t="n"/>
      <c r="G57" s="11" t="n"/>
      <c r="H57" s="8" t="n"/>
      <c r="I57" s="10" t="n"/>
      <c r="J57" s="12">
        <f>IF(OR(B57="",D57=""),"",IFERROR(IF(E57="税抜",D57,ROUND(D57/(1+IF(F57="",'設定'!$C$6,IF(F57&gt;=1,F57/100,F57))),2)),""))</f>
        <v/>
      </c>
      <c r="K57" s="13">
        <f>IFERROR(IF(OR(J57="",G57="",G57=0),"",ROUND(J57/G57,4)),"")</f>
        <v/>
      </c>
      <c r="L57" s="13">
        <f>IFERROR(IF(K57="","",IF(IF(I57="",1,IF(I57&gt;1,I57/100,I57))=0,"",ROUND(K57/IF(I57="",1,IF(I57&gt;1,I57/100,I57)),4))),"")</f>
        <v/>
      </c>
      <c r="M57" s="14">
        <f>IF(B57="","",IF(D57="","価格を入力",IF(OR(G57="",G57=0),"内容量を入力",IF(AND(I57&lt;&gt;"",I57=0),"歩留まりが0",IF(L57="","入力を確認","OK")))))</f>
        <v/>
      </c>
    </row>
    <row r="58">
      <c r="A58" s="7" t="n">
        <v>54</v>
      </c>
      <c r="B58" s="8" t="n"/>
      <c r="C58" s="8" t="n"/>
      <c r="D58" s="9" t="n"/>
      <c r="E58" s="8" t="n"/>
      <c r="F58" s="10" t="n"/>
      <c r="G58" s="11" t="n"/>
      <c r="H58" s="8" t="n"/>
      <c r="I58" s="10" t="n"/>
      <c r="J58" s="12">
        <f>IF(OR(B58="",D58=""),"",IFERROR(IF(E58="税抜",D58,ROUND(D58/(1+IF(F58="",'設定'!$C$6,IF(F58&gt;=1,F58/100,F58))),2)),""))</f>
        <v/>
      </c>
      <c r="K58" s="13">
        <f>IFERROR(IF(OR(J58="",G58="",G58=0),"",ROUND(J58/G58,4)),"")</f>
        <v/>
      </c>
      <c r="L58" s="13">
        <f>IFERROR(IF(K58="","",IF(IF(I58="",1,IF(I58&gt;1,I58/100,I58))=0,"",ROUND(K58/IF(I58="",1,IF(I58&gt;1,I58/100,I58)),4))),"")</f>
        <v/>
      </c>
      <c r="M58" s="14">
        <f>IF(B58="","",IF(D58="","価格を入力",IF(OR(G58="",G58=0),"内容量を入力",IF(AND(I58&lt;&gt;"",I58=0),"歩留まりが0",IF(L58="","入力を確認","OK")))))</f>
        <v/>
      </c>
    </row>
    <row r="59">
      <c r="A59" s="7" t="n">
        <v>55</v>
      </c>
      <c r="B59" s="8" t="n"/>
      <c r="C59" s="8" t="n"/>
      <c r="D59" s="9" t="n"/>
      <c r="E59" s="8" t="n"/>
      <c r="F59" s="10" t="n"/>
      <c r="G59" s="11" t="n"/>
      <c r="H59" s="8" t="n"/>
      <c r="I59" s="10" t="n"/>
      <c r="J59" s="12">
        <f>IF(OR(B59="",D59=""),"",IFERROR(IF(E59="税抜",D59,ROUND(D59/(1+IF(F59="",'設定'!$C$6,IF(F59&gt;=1,F59/100,F59))),2)),""))</f>
        <v/>
      </c>
      <c r="K59" s="13">
        <f>IFERROR(IF(OR(J59="",G59="",G59=0),"",ROUND(J59/G59,4)),"")</f>
        <v/>
      </c>
      <c r="L59" s="13">
        <f>IFERROR(IF(K59="","",IF(IF(I59="",1,IF(I59&gt;1,I59/100,I59))=0,"",ROUND(K59/IF(I59="",1,IF(I59&gt;1,I59/100,I59)),4))),"")</f>
        <v/>
      </c>
      <c r="M59" s="14">
        <f>IF(B59="","",IF(D59="","価格を入力",IF(OR(G59="",G59=0),"内容量を入力",IF(AND(I59&lt;&gt;"",I59=0),"歩留まりが0",IF(L59="","入力を確認","OK")))))</f>
        <v/>
      </c>
    </row>
    <row r="60">
      <c r="A60" s="7" t="n">
        <v>56</v>
      </c>
      <c r="B60" s="8" t="n"/>
      <c r="C60" s="8" t="n"/>
      <c r="D60" s="9" t="n"/>
      <c r="E60" s="8" t="n"/>
      <c r="F60" s="10" t="n"/>
      <c r="G60" s="11" t="n"/>
      <c r="H60" s="8" t="n"/>
      <c r="I60" s="10" t="n"/>
      <c r="J60" s="12">
        <f>IF(OR(B60="",D60=""),"",IFERROR(IF(E60="税抜",D60,ROUND(D60/(1+IF(F60="",'設定'!$C$6,IF(F60&gt;=1,F60/100,F60))),2)),""))</f>
        <v/>
      </c>
      <c r="K60" s="13">
        <f>IFERROR(IF(OR(J60="",G60="",G60=0),"",ROUND(J60/G60,4)),"")</f>
        <v/>
      </c>
      <c r="L60" s="13">
        <f>IFERROR(IF(K60="","",IF(IF(I60="",1,IF(I60&gt;1,I60/100,I60))=0,"",ROUND(K60/IF(I60="",1,IF(I60&gt;1,I60/100,I60)),4))),"")</f>
        <v/>
      </c>
      <c r="M60" s="14">
        <f>IF(B60="","",IF(D60="","価格を入力",IF(OR(G60="",G60=0),"内容量を入力",IF(AND(I60&lt;&gt;"",I60=0),"歩留まりが0",IF(L60="","入力を確認","OK")))))</f>
        <v/>
      </c>
    </row>
    <row r="61">
      <c r="A61" s="7" t="n">
        <v>57</v>
      </c>
      <c r="B61" s="8" t="n"/>
      <c r="C61" s="8" t="n"/>
      <c r="D61" s="9" t="n"/>
      <c r="E61" s="8" t="n"/>
      <c r="F61" s="10" t="n"/>
      <c r="G61" s="11" t="n"/>
      <c r="H61" s="8" t="n"/>
      <c r="I61" s="10" t="n"/>
      <c r="J61" s="12">
        <f>IF(OR(B61="",D61=""),"",IFERROR(IF(E61="税抜",D61,ROUND(D61/(1+IF(F61="",'設定'!$C$6,IF(F61&gt;=1,F61/100,F61))),2)),""))</f>
        <v/>
      </c>
      <c r="K61" s="13">
        <f>IFERROR(IF(OR(J61="",G61="",G61=0),"",ROUND(J61/G61,4)),"")</f>
        <v/>
      </c>
      <c r="L61" s="13">
        <f>IFERROR(IF(K61="","",IF(IF(I61="",1,IF(I61&gt;1,I61/100,I61))=0,"",ROUND(K61/IF(I61="",1,IF(I61&gt;1,I61/100,I61)),4))),"")</f>
        <v/>
      </c>
      <c r="M61" s="14">
        <f>IF(B61="","",IF(D61="","価格を入力",IF(OR(G61="",G61=0),"内容量を入力",IF(AND(I61&lt;&gt;"",I61=0),"歩留まりが0",IF(L61="","入力を確認","OK")))))</f>
        <v/>
      </c>
    </row>
    <row r="62">
      <c r="A62" s="7" t="n">
        <v>58</v>
      </c>
      <c r="B62" s="8" t="n"/>
      <c r="C62" s="8" t="n"/>
      <c r="D62" s="9" t="n"/>
      <c r="E62" s="8" t="n"/>
      <c r="F62" s="10" t="n"/>
      <c r="G62" s="11" t="n"/>
      <c r="H62" s="8" t="n"/>
      <c r="I62" s="10" t="n"/>
      <c r="J62" s="12">
        <f>IF(OR(B62="",D62=""),"",IFERROR(IF(E62="税抜",D62,ROUND(D62/(1+IF(F62="",'設定'!$C$6,IF(F62&gt;=1,F62/100,F62))),2)),""))</f>
        <v/>
      </c>
      <c r="K62" s="13">
        <f>IFERROR(IF(OR(J62="",G62="",G62=0),"",ROUND(J62/G62,4)),"")</f>
        <v/>
      </c>
      <c r="L62" s="13">
        <f>IFERROR(IF(K62="","",IF(IF(I62="",1,IF(I62&gt;1,I62/100,I62))=0,"",ROUND(K62/IF(I62="",1,IF(I62&gt;1,I62/100,I62)),4))),"")</f>
        <v/>
      </c>
      <c r="M62" s="14">
        <f>IF(B62="","",IF(D62="","価格を入力",IF(OR(G62="",G62=0),"内容量を入力",IF(AND(I62&lt;&gt;"",I62=0),"歩留まりが0",IF(L62="","入力を確認","OK")))))</f>
        <v/>
      </c>
    </row>
    <row r="63">
      <c r="A63" s="7" t="n">
        <v>59</v>
      </c>
      <c r="B63" s="8" t="n"/>
      <c r="C63" s="8" t="n"/>
      <c r="D63" s="9" t="n"/>
      <c r="E63" s="8" t="n"/>
      <c r="F63" s="10" t="n"/>
      <c r="G63" s="11" t="n"/>
      <c r="H63" s="8" t="n"/>
      <c r="I63" s="10" t="n"/>
      <c r="J63" s="12">
        <f>IF(OR(B63="",D63=""),"",IFERROR(IF(E63="税抜",D63,ROUND(D63/(1+IF(F63="",'設定'!$C$6,IF(F63&gt;=1,F63/100,F63))),2)),""))</f>
        <v/>
      </c>
      <c r="K63" s="13">
        <f>IFERROR(IF(OR(J63="",G63="",G63=0),"",ROUND(J63/G63,4)),"")</f>
        <v/>
      </c>
      <c r="L63" s="13">
        <f>IFERROR(IF(K63="","",IF(IF(I63="",1,IF(I63&gt;1,I63/100,I63))=0,"",ROUND(K63/IF(I63="",1,IF(I63&gt;1,I63/100,I63)),4))),"")</f>
        <v/>
      </c>
      <c r="M63" s="14">
        <f>IF(B63="","",IF(D63="","価格を入力",IF(OR(G63="",G63=0),"内容量を入力",IF(AND(I63&lt;&gt;"",I63=0),"歩留まりが0",IF(L63="","入力を確認","OK")))))</f>
        <v/>
      </c>
    </row>
    <row r="64">
      <c r="A64" s="7" t="n">
        <v>60</v>
      </c>
      <c r="B64" s="8" t="n"/>
      <c r="C64" s="8" t="n"/>
      <c r="D64" s="9" t="n"/>
      <c r="E64" s="8" t="n"/>
      <c r="F64" s="10" t="n"/>
      <c r="G64" s="11" t="n"/>
      <c r="H64" s="8" t="n"/>
      <c r="I64" s="10" t="n"/>
      <c r="J64" s="12">
        <f>IF(OR(B64="",D64=""),"",IFERROR(IF(E64="税抜",D64,ROUND(D64/(1+IF(F64="",'設定'!$C$6,IF(F64&gt;=1,F64/100,F64))),2)),""))</f>
        <v/>
      </c>
      <c r="K64" s="13">
        <f>IFERROR(IF(OR(J64="",G64="",G64=0),"",ROUND(J64/G64,4)),"")</f>
        <v/>
      </c>
      <c r="L64" s="13">
        <f>IFERROR(IF(K64="","",IF(IF(I64="",1,IF(I64&gt;1,I64/100,I64))=0,"",ROUND(K64/IF(I64="",1,IF(I64&gt;1,I64/100,I64)),4))),"")</f>
        <v/>
      </c>
      <c r="M64" s="14">
        <f>IF(B64="","",IF(D64="","価格を入力",IF(OR(G64="",G64=0),"内容量を入力",IF(AND(I64&lt;&gt;"",I64=0),"歩留まりが0",IF(L64="","入力を確認","OK")))))</f>
        <v/>
      </c>
    </row>
    <row r="65">
      <c r="A65" s="7" t="n">
        <v>61</v>
      </c>
      <c r="B65" s="8" t="n"/>
      <c r="C65" s="8" t="n"/>
      <c r="D65" s="9" t="n"/>
      <c r="E65" s="8" t="n"/>
      <c r="F65" s="10" t="n"/>
      <c r="G65" s="11" t="n"/>
      <c r="H65" s="8" t="n"/>
      <c r="I65" s="10" t="n"/>
      <c r="J65" s="12">
        <f>IF(OR(B65="",D65=""),"",IFERROR(IF(E65="税抜",D65,ROUND(D65/(1+IF(F65="",'設定'!$C$6,IF(F65&gt;=1,F65/100,F65))),2)),""))</f>
        <v/>
      </c>
      <c r="K65" s="13">
        <f>IFERROR(IF(OR(J65="",G65="",G65=0),"",ROUND(J65/G65,4)),"")</f>
        <v/>
      </c>
      <c r="L65" s="13">
        <f>IFERROR(IF(K65="","",IF(IF(I65="",1,IF(I65&gt;1,I65/100,I65))=0,"",ROUND(K65/IF(I65="",1,IF(I65&gt;1,I65/100,I65)),4))),"")</f>
        <v/>
      </c>
      <c r="M65" s="14">
        <f>IF(B65="","",IF(D65="","価格を入力",IF(OR(G65="",G65=0),"内容量を入力",IF(AND(I65&lt;&gt;"",I65=0),"歩留まりが0",IF(L65="","入力を確認","OK")))))</f>
        <v/>
      </c>
    </row>
    <row r="66">
      <c r="A66" s="7" t="n">
        <v>62</v>
      </c>
      <c r="B66" s="8" t="n"/>
      <c r="C66" s="8" t="n"/>
      <c r="D66" s="9" t="n"/>
      <c r="E66" s="8" t="n"/>
      <c r="F66" s="10" t="n"/>
      <c r="G66" s="11" t="n"/>
      <c r="H66" s="8" t="n"/>
      <c r="I66" s="10" t="n"/>
      <c r="J66" s="12">
        <f>IF(OR(B66="",D66=""),"",IFERROR(IF(E66="税抜",D66,ROUND(D66/(1+IF(F66="",'設定'!$C$6,IF(F66&gt;=1,F66/100,F66))),2)),""))</f>
        <v/>
      </c>
      <c r="K66" s="13">
        <f>IFERROR(IF(OR(J66="",G66="",G66=0),"",ROUND(J66/G66,4)),"")</f>
        <v/>
      </c>
      <c r="L66" s="13">
        <f>IFERROR(IF(K66="","",IF(IF(I66="",1,IF(I66&gt;1,I66/100,I66))=0,"",ROUND(K66/IF(I66="",1,IF(I66&gt;1,I66/100,I66)),4))),"")</f>
        <v/>
      </c>
      <c r="M66" s="14">
        <f>IF(B66="","",IF(D66="","価格を入力",IF(OR(G66="",G66=0),"内容量を入力",IF(AND(I66&lt;&gt;"",I66=0),"歩留まりが0",IF(L66="","入力を確認","OK")))))</f>
        <v/>
      </c>
    </row>
    <row r="67">
      <c r="A67" s="7" t="n">
        <v>63</v>
      </c>
      <c r="B67" s="8" t="n"/>
      <c r="C67" s="8" t="n"/>
      <c r="D67" s="9" t="n"/>
      <c r="E67" s="8" t="n"/>
      <c r="F67" s="10" t="n"/>
      <c r="G67" s="11" t="n"/>
      <c r="H67" s="8" t="n"/>
      <c r="I67" s="10" t="n"/>
      <c r="J67" s="12">
        <f>IF(OR(B67="",D67=""),"",IFERROR(IF(E67="税抜",D67,ROUND(D67/(1+IF(F67="",'設定'!$C$6,IF(F67&gt;=1,F67/100,F67))),2)),""))</f>
        <v/>
      </c>
      <c r="K67" s="13">
        <f>IFERROR(IF(OR(J67="",G67="",G67=0),"",ROUND(J67/G67,4)),"")</f>
        <v/>
      </c>
      <c r="L67" s="13">
        <f>IFERROR(IF(K67="","",IF(IF(I67="",1,IF(I67&gt;1,I67/100,I67))=0,"",ROUND(K67/IF(I67="",1,IF(I67&gt;1,I67/100,I67)),4))),"")</f>
        <v/>
      </c>
      <c r="M67" s="14">
        <f>IF(B67="","",IF(D67="","価格を入力",IF(OR(G67="",G67=0),"内容量を入力",IF(AND(I67&lt;&gt;"",I67=0),"歩留まりが0",IF(L67="","入力を確認","OK")))))</f>
        <v/>
      </c>
    </row>
    <row r="68">
      <c r="A68" s="7" t="n">
        <v>64</v>
      </c>
      <c r="B68" s="8" t="n"/>
      <c r="C68" s="8" t="n"/>
      <c r="D68" s="9" t="n"/>
      <c r="E68" s="8" t="n"/>
      <c r="F68" s="10" t="n"/>
      <c r="G68" s="11" t="n"/>
      <c r="H68" s="8" t="n"/>
      <c r="I68" s="10" t="n"/>
      <c r="J68" s="12">
        <f>IF(OR(B68="",D68=""),"",IFERROR(IF(E68="税抜",D68,ROUND(D68/(1+IF(F68="",'設定'!$C$6,IF(F68&gt;=1,F68/100,F68))),2)),""))</f>
        <v/>
      </c>
      <c r="K68" s="13">
        <f>IFERROR(IF(OR(J68="",G68="",G68=0),"",ROUND(J68/G68,4)),"")</f>
        <v/>
      </c>
      <c r="L68" s="13">
        <f>IFERROR(IF(K68="","",IF(IF(I68="",1,IF(I68&gt;1,I68/100,I68))=0,"",ROUND(K68/IF(I68="",1,IF(I68&gt;1,I68/100,I68)),4))),"")</f>
        <v/>
      </c>
      <c r="M68" s="14">
        <f>IF(B68="","",IF(D68="","価格を入力",IF(OR(G68="",G68=0),"内容量を入力",IF(AND(I68&lt;&gt;"",I68=0),"歩留まりが0",IF(L68="","入力を確認","OK")))))</f>
        <v/>
      </c>
    </row>
    <row r="69">
      <c r="A69" s="7" t="n">
        <v>65</v>
      </c>
      <c r="B69" s="8" t="n"/>
      <c r="C69" s="8" t="n"/>
      <c r="D69" s="9" t="n"/>
      <c r="E69" s="8" t="n"/>
      <c r="F69" s="10" t="n"/>
      <c r="G69" s="11" t="n"/>
      <c r="H69" s="8" t="n"/>
      <c r="I69" s="10" t="n"/>
      <c r="J69" s="12">
        <f>IF(OR(B69="",D69=""),"",IFERROR(IF(E69="税抜",D69,ROUND(D69/(1+IF(F69="",'設定'!$C$6,IF(F69&gt;=1,F69/100,F69))),2)),""))</f>
        <v/>
      </c>
      <c r="K69" s="13">
        <f>IFERROR(IF(OR(J69="",G69="",G69=0),"",ROUND(J69/G69,4)),"")</f>
        <v/>
      </c>
      <c r="L69" s="13">
        <f>IFERROR(IF(K69="","",IF(IF(I69="",1,IF(I69&gt;1,I69/100,I69))=0,"",ROUND(K69/IF(I69="",1,IF(I69&gt;1,I69/100,I69)),4))),"")</f>
        <v/>
      </c>
      <c r="M69" s="14">
        <f>IF(B69="","",IF(D69="","価格を入力",IF(OR(G69="",G69=0),"内容量を入力",IF(AND(I69&lt;&gt;"",I69=0),"歩留まりが0",IF(L69="","入力を確認","OK")))))</f>
        <v/>
      </c>
    </row>
    <row r="70">
      <c r="A70" s="7" t="n">
        <v>66</v>
      </c>
      <c r="B70" s="8" t="n"/>
      <c r="C70" s="8" t="n"/>
      <c r="D70" s="9" t="n"/>
      <c r="E70" s="8" t="n"/>
      <c r="F70" s="10" t="n"/>
      <c r="G70" s="11" t="n"/>
      <c r="H70" s="8" t="n"/>
      <c r="I70" s="10" t="n"/>
      <c r="J70" s="12">
        <f>IF(OR(B70="",D70=""),"",IFERROR(IF(E70="税抜",D70,ROUND(D70/(1+IF(F70="",'設定'!$C$6,IF(F70&gt;=1,F70/100,F70))),2)),""))</f>
        <v/>
      </c>
      <c r="K70" s="13">
        <f>IFERROR(IF(OR(J70="",G70="",G70=0),"",ROUND(J70/G70,4)),"")</f>
        <v/>
      </c>
      <c r="L70" s="13">
        <f>IFERROR(IF(K70="","",IF(IF(I70="",1,IF(I70&gt;1,I70/100,I70))=0,"",ROUND(K70/IF(I70="",1,IF(I70&gt;1,I70/100,I70)),4))),"")</f>
        <v/>
      </c>
      <c r="M70" s="14">
        <f>IF(B70="","",IF(D70="","価格を入力",IF(OR(G70="",G70=0),"内容量を入力",IF(AND(I70&lt;&gt;"",I70=0),"歩留まりが0",IF(L70="","入力を確認","OK")))))</f>
        <v/>
      </c>
    </row>
    <row r="71">
      <c r="A71" s="7" t="n">
        <v>67</v>
      </c>
      <c r="B71" s="8" t="n"/>
      <c r="C71" s="8" t="n"/>
      <c r="D71" s="9" t="n"/>
      <c r="E71" s="8" t="n"/>
      <c r="F71" s="10" t="n"/>
      <c r="G71" s="11" t="n"/>
      <c r="H71" s="8" t="n"/>
      <c r="I71" s="10" t="n"/>
      <c r="J71" s="12">
        <f>IF(OR(B71="",D71=""),"",IFERROR(IF(E71="税抜",D71,ROUND(D71/(1+IF(F71="",'設定'!$C$6,IF(F71&gt;=1,F71/100,F71))),2)),""))</f>
        <v/>
      </c>
      <c r="K71" s="13">
        <f>IFERROR(IF(OR(J71="",G71="",G71=0),"",ROUND(J71/G71,4)),"")</f>
        <v/>
      </c>
      <c r="L71" s="13">
        <f>IFERROR(IF(K71="","",IF(IF(I71="",1,IF(I71&gt;1,I71/100,I71))=0,"",ROUND(K71/IF(I71="",1,IF(I71&gt;1,I71/100,I71)),4))),"")</f>
        <v/>
      </c>
      <c r="M71" s="14">
        <f>IF(B71="","",IF(D71="","価格を入力",IF(OR(G71="",G71=0),"内容量を入力",IF(AND(I71&lt;&gt;"",I71=0),"歩留まりが0",IF(L71="","入力を確認","OK")))))</f>
        <v/>
      </c>
    </row>
    <row r="72">
      <c r="A72" s="7" t="n">
        <v>68</v>
      </c>
      <c r="B72" s="8" t="n"/>
      <c r="C72" s="8" t="n"/>
      <c r="D72" s="9" t="n"/>
      <c r="E72" s="8" t="n"/>
      <c r="F72" s="10" t="n"/>
      <c r="G72" s="11" t="n"/>
      <c r="H72" s="8" t="n"/>
      <c r="I72" s="10" t="n"/>
      <c r="J72" s="12">
        <f>IF(OR(B72="",D72=""),"",IFERROR(IF(E72="税抜",D72,ROUND(D72/(1+IF(F72="",'設定'!$C$6,IF(F72&gt;=1,F72/100,F72))),2)),""))</f>
        <v/>
      </c>
      <c r="K72" s="13">
        <f>IFERROR(IF(OR(J72="",G72="",G72=0),"",ROUND(J72/G72,4)),"")</f>
        <v/>
      </c>
      <c r="L72" s="13">
        <f>IFERROR(IF(K72="","",IF(IF(I72="",1,IF(I72&gt;1,I72/100,I72))=0,"",ROUND(K72/IF(I72="",1,IF(I72&gt;1,I72/100,I72)),4))),"")</f>
        <v/>
      </c>
      <c r="M72" s="14">
        <f>IF(B72="","",IF(D72="","価格を入力",IF(OR(G72="",G72=0),"内容量を入力",IF(AND(I72&lt;&gt;"",I72=0),"歩留まりが0",IF(L72="","入力を確認","OK")))))</f>
        <v/>
      </c>
    </row>
    <row r="73">
      <c r="A73" s="7" t="n">
        <v>69</v>
      </c>
      <c r="B73" s="8" t="n"/>
      <c r="C73" s="8" t="n"/>
      <c r="D73" s="9" t="n"/>
      <c r="E73" s="8" t="n"/>
      <c r="F73" s="10" t="n"/>
      <c r="G73" s="11" t="n"/>
      <c r="H73" s="8" t="n"/>
      <c r="I73" s="10" t="n"/>
      <c r="J73" s="12">
        <f>IF(OR(B73="",D73=""),"",IFERROR(IF(E73="税抜",D73,ROUND(D73/(1+IF(F73="",'設定'!$C$6,IF(F73&gt;=1,F73/100,F73))),2)),""))</f>
        <v/>
      </c>
      <c r="K73" s="13">
        <f>IFERROR(IF(OR(J73="",G73="",G73=0),"",ROUND(J73/G73,4)),"")</f>
        <v/>
      </c>
      <c r="L73" s="13">
        <f>IFERROR(IF(K73="","",IF(IF(I73="",1,IF(I73&gt;1,I73/100,I73))=0,"",ROUND(K73/IF(I73="",1,IF(I73&gt;1,I73/100,I73)),4))),"")</f>
        <v/>
      </c>
      <c r="M73" s="14">
        <f>IF(B73="","",IF(D73="","価格を入力",IF(OR(G73="",G73=0),"内容量を入力",IF(AND(I73&lt;&gt;"",I73=0),"歩留まりが0",IF(L73="","入力を確認","OK")))))</f>
        <v/>
      </c>
    </row>
    <row r="74">
      <c r="A74" s="7" t="n">
        <v>70</v>
      </c>
      <c r="B74" s="8" t="n"/>
      <c r="C74" s="8" t="n"/>
      <c r="D74" s="9" t="n"/>
      <c r="E74" s="8" t="n"/>
      <c r="F74" s="10" t="n"/>
      <c r="G74" s="11" t="n"/>
      <c r="H74" s="8" t="n"/>
      <c r="I74" s="10" t="n"/>
      <c r="J74" s="12">
        <f>IF(OR(B74="",D74=""),"",IFERROR(IF(E74="税抜",D74,ROUND(D74/(1+IF(F74="",'設定'!$C$6,IF(F74&gt;=1,F74/100,F74))),2)),""))</f>
        <v/>
      </c>
      <c r="K74" s="13">
        <f>IFERROR(IF(OR(J74="",G74="",G74=0),"",ROUND(J74/G74,4)),"")</f>
        <v/>
      </c>
      <c r="L74" s="13">
        <f>IFERROR(IF(K74="","",IF(IF(I74="",1,IF(I74&gt;1,I74/100,I74))=0,"",ROUND(K74/IF(I74="",1,IF(I74&gt;1,I74/100,I74)),4))),"")</f>
        <v/>
      </c>
      <c r="M74" s="14">
        <f>IF(B74="","",IF(D74="","価格を入力",IF(OR(G74="",G74=0),"内容量を入力",IF(AND(I74&lt;&gt;"",I74=0),"歩留まりが0",IF(L74="","入力を確認","OK")))))</f>
        <v/>
      </c>
    </row>
    <row r="75">
      <c r="A75" s="7" t="n">
        <v>71</v>
      </c>
      <c r="B75" s="8" t="n"/>
      <c r="C75" s="8" t="n"/>
      <c r="D75" s="9" t="n"/>
      <c r="E75" s="8" t="n"/>
      <c r="F75" s="10" t="n"/>
      <c r="G75" s="11" t="n"/>
      <c r="H75" s="8" t="n"/>
      <c r="I75" s="10" t="n"/>
      <c r="J75" s="12">
        <f>IF(OR(B75="",D75=""),"",IFERROR(IF(E75="税抜",D75,ROUND(D75/(1+IF(F75="",'設定'!$C$6,IF(F75&gt;=1,F75/100,F75))),2)),""))</f>
        <v/>
      </c>
      <c r="K75" s="13">
        <f>IFERROR(IF(OR(J75="",G75="",G75=0),"",ROUND(J75/G75,4)),"")</f>
        <v/>
      </c>
      <c r="L75" s="13">
        <f>IFERROR(IF(K75="","",IF(IF(I75="",1,IF(I75&gt;1,I75/100,I75))=0,"",ROUND(K75/IF(I75="",1,IF(I75&gt;1,I75/100,I75)),4))),"")</f>
        <v/>
      </c>
      <c r="M75" s="14">
        <f>IF(B75="","",IF(D75="","価格を入力",IF(OR(G75="",G75=0),"内容量を入力",IF(AND(I75&lt;&gt;"",I75=0),"歩留まりが0",IF(L75="","入力を確認","OK")))))</f>
        <v/>
      </c>
    </row>
    <row r="76">
      <c r="A76" s="7" t="n">
        <v>72</v>
      </c>
      <c r="B76" s="8" t="n"/>
      <c r="C76" s="8" t="n"/>
      <c r="D76" s="9" t="n"/>
      <c r="E76" s="8" t="n"/>
      <c r="F76" s="10" t="n"/>
      <c r="G76" s="11" t="n"/>
      <c r="H76" s="8" t="n"/>
      <c r="I76" s="10" t="n"/>
      <c r="J76" s="12">
        <f>IF(OR(B76="",D76=""),"",IFERROR(IF(E76="税抜",D76,ROUND(D76/(1+IF(F76="",'設定'!$C$6,IF(F76&gt;=1,F76/100,F76))),2)),""))</f>
        <v/>
      </c>
      <c r="K76" s="13">
        <f>IFERROR(IF(OR(J76="",G76="",G76=0),"",ROUND(J76/G76,4)),"")</f>
        <v/>
      </c>
      <c r="L76" s="13">
        <f>IFERROR(IF(K76="","",IF(IF(I76="",1,IF(I76&gt;1,I76/100,I76))=0,"",ROUND(K76/IF(I76="",1,IF(I76&gt;1,I76/100,I76)),4))),"")</f>
        <v/>
      </c>
      <c r="M76" s="14">
        <f>IF(B76="","",IF(D76="","価格を入力",IF(OR(G76="",G76=0),"内容量を入力",IF(AND(I76&lt;&gt;"",I76=0),"歩留まりが0",IF(L76="","入力を確認","OK")))))</f>
        <v/>
      </c>
    </row>
    <row r="77">
      <c r="A77" s="7" t="n">
        <v>73</v>
      </c>
      <c r="B77" s="8" t="n"/>
      <c r="C77" s="8" t="n"/>
      <c r="D77" s="9" t="n"/>
      <c r="E77" s="8" t="n"/>
      <c r="F77" s="10" t="n"/>
      <c r="G77" s="11" t="n"/>
      <c r="H77" s="8" t="n"/>
      <c r="I77" s="10" t="n"/>
      <c r="J77" s="12">
        <f>IF(OR(B77="",D77=""),"",IFERROR(IF(E77="税抜",D77,ROUND(D77/(1+IF(F77="",'設定'!$C$6,IF(F77&gt;=1,F77/100,F77))),2)),""))</f>
        <v/>
      </c>
      <c r="K77" s="13">
        <f>IFERROR(IF(OR(J77="",G77="",G77=0),"",ROUND(J77/G77,4)),"")</f>
        <v/>
      </c>
      <c r="L77" s="13">
        <f>IFERROR(IF(K77="","",IF(IF(I77="",1,IF(I77&gt;1,I77/100,I77))=0,"",ROUND(K77/IF(I77="",1,IF(I77&gt;1,I77/100,I77)),4))),"")</f>
        <v/>
      </c>
      <c r="M77" s="14">
        <f>IF(B77="","",IF(D77="","価格を入力",IF(OR(G77="",G77=0),"内容量を入力",IF(AND(I77&lt;&gt;"",I77=0),"歩留まりが0",IF(L77="","入力を確認","OK")))))</f>
        <v/>
      </c>
    </row>
    <row r="78">
      <c r="A78" s="7" t="n">
        <v>74</v>
      </c>
      <c r="B78" s="8" t="n"/>
      <c r="C78" s="8" t="n"/>
      <c r="D78" s="9" t="n"/>
      <c r="E78" s="8" t="n"/>
      <c r="F78" s="10" t="n"/>
      <c r="G78" s="11" t="n"/>
      <c r="H78" s="8" t="n"/>
      <c r="I78" s="10" t="n"/>
      <c r="J78" s="12">
        <f>IF(OR(B78="",D78=""),"",IFERROR(IF(E78="税抜",D78,ROUND(D78/(1+IF(F78="",'設定'!$C$6,IF(F78&gt;=1,F78/100,F78))),2)),""))</f>
        <v/>
      </c>
      <c r="K78" s="13">
        <f>IFERROR(IF(OR(J78="",G78="",G78=0),"",ROUND(J78/G78,4)),"")</f>
        <v/>
      </c>
      <c r="L78" s="13">
        <f>IFERROR(IF(K78="","",IF(IF(I78="",1,IF(I78&gt;1,I78/100,I78))=0,"",ROUND(K78/IF(I78="",1,IF(I78&gt;1,I78/100,I78)),4))),"")</f>
        <v/>
      </c>
      <c r="M78" s="14">
        <f>IF(B78="","",IF(D78="","価格を入力",IF(OR(G78="",G78=0),"内容量を入力",IF(AND(I78&lt;&gt;"",I78=0),"歩留まりが0",IF(L78="","入力を確認","OK")))))</f>
        <v/>
      </c>
    </row>
    <row r="79">
      <c r="A79" s="7" t="n">
        <v>75</v>
      </c>
      <c r="B79" s="8" t="n"/>
      <c r="C79" s="8" t="n"/>
      <c r="D79" s="9" t="n"/>
      <c r="E79" s="8" t="n"/>
      <c r="F79" s="10" t="n"/>
      <c r="G79" s="11" t="n"/>
      <c r="H79" s="8" t="n"/>
      <c r="I79" s="10" t="n"/>
      <c r="J79" s="12">
        <f>IF(OR(B79="",D79=""),"",IFERROR(IF(E79="税抜",D79,ROUND(D79/(1+IF(F79="",'設定'!$C$6,IF(F79&gt;=1,F79/100,F79))),2)),""))</f>
        <v/>
      </c>
      <c r="K79" s="13">
        <f>IFERROR(IF(OR(J79="",G79="",G79=0),"",ROUND(J79/G79,4)),"")</f>
        <v/>
      </c>
      <c r="L79" s="13">
        <f>IFERROR(IF(K79="","",IF(IF(I79="",1,IF(I79&gt;1,I79/100,I79))=0,"",ROUND(K79/IF(I79="",1,IF(I79&gt;1,I79/100,I79)),4))),"")</f>
        <v/>
      </c>
      <c r="M79" s="14">
        <f>IF(B79="","",IF(D79="","価格を入力",IF(OR(G79="",G79=0),"内容量を入力",IF(AND(I79&lt;&gt;"",I79=0),"歩留まりが0",IF(L79="","入力を確認","OK")))))</f>
        <v/>
      </c>
    </row>
    <row r="80">
      <c r="A80" s="7" t="n">
        <v>76</v>
      </c>
      <c r="B80" s="8" t="n"/>
      <c r="C80" s="8" t="n"/>
      <c r="D80" s="9" t="n"/>
      <c r="E80" s="8" t="n"/>
      <c r="F80" s="10" t="n"/>
      <c r="G80" s="11" t="n"/>
      <c r="H80" s="8" t="n"/>
      <c r="I80" s="10" t="n"/>
      <c r="J80" s="12">
        <f>IF(OR(B80="",D80=""),"",IFERROR(IF(E80="税抜",D80,ROUND(D80/(1+IF(F80="",'設定'!$C$6,IF(F80&gt;=1,F80/100,F80))),2)),""))</f>
        <v/>
      </c>
      <c r="K80" s="13">
        <f>IFERROR(IF(OR(J80="",G80="",G80=0),"",ROUND(J80/G80,4)),"")</f>
        <v/>
      </c>
      <c r="L80" s="13">
        <f>IFERROR(IF(K80="","",IF(IF(I80="",1,IF(I80&gt;1,I80/100,I80))=0,"",ROUND(K80/IF(I80="",1,IF(I80&gt;1,I80/100,I80)),4))),"")</f>
        <v/>
      </c>
      <c r="M80" s="14">
        <f>IF(B80="","",IF(D80="","価格を入力",IF(OR(G80="",G80=0),"内容量を入力",IF(AND(I80&lt;&gt;"",I80=0),"歩留まりが0",IF(L80="","入力を確認","OK")))))</f>
        <v/>
      </c>
    </row>
    <row r="81">
      <c r="A81" s="7" t="n">
        <v>77</v>
      </c>
      <c r="B81" s="8" t="n"/>
      <c r="C81" s="8" t="n"/>
      <c r="D81" s="9" t="n"/>
      <c r="E81" s="8" t="n"/>
      <c r="F81" s="10" t="n"/>
      <c r="G81" s="11" t="n"/>
      <c r="H81" s="8" t="n"/>
      <c r="I81" s="10" t="n"/>
      <c r="J81" s="12">
        <f>IF(OR(B81="",D81=""),"",IFERROR(IF(E81="税抜",D81,ROUND(D81/(1+IF(F81="",'設定'!$C$6,IF(F81&gt;=1,F81/100,F81))),2)),""))</f>
        <v/>
      </c>
      <c r="K81" s="13">
        <f>IFERROR(IF(OR(J81="",G81="",G81=0),"",ROUND(J81/G81,4)),"")</f>
        <v/>
      </c>
      <c r="L81" s="13">
        <f>IFERROR(IF(K81="","",IF(IF(I81="",1,IF(I81&gt;1,I81/100,I81))=0,"",ROUND(K81/IF(I81="",1,IF(I81&gt;1,I81/100,I81)),4))),"")</f>
        <v/>
      </c>
      <c r="M81" s="14">
        <f>IF(B81="","",IF(D81="","価格を入力",IF(OR(G81="",G81=0),"内容量を入力",IF(AND(I81&lt;&gt;"",I81=0),"歩留まりが0",IF(L81="","入力を確認","OK")))))</f>
        <v/>
      </c>
    </row>
    <row r="82">
      <c r="A82" s="7" t="n">
        <v>78</v>
      </c>
      <c r="B82" s="8" t="n"/>
      <c r="C82" s="8" t="n"/>
      <c r="D82" s="9" t="n"/>
      <c r="E82" s="8" t="n"/>
      <c r="F82" s="10" t="n"/>
      <c r="G82" s="11" t="n"/>
      <c r="H82" s="8" t="n"/>
      <c r="I82" s="10" t="n"/>
      <c r="J82" s="12">
        <f>IF(OR(B82="",D82=""),"",IFERROR(IF(E82="税抜",D82,ROUND(D82/(1+IF(F82="",'設定'!$C$6,IF(F82&gt;=1,F82/100,F82))),2)),""))</f>
        <v/>
      </c>
      <c r="K82" s="13">
        <f>IFERROR(IF(OR(J82="",G82="",G82=0),"",ROUND(J82/G82,4)),"")</f>
        <v/>
      </c>
      <c r="L82" s="13">
        <f>IFERROR(IF(K82="","",IF(IF(I82="",1,IF(I82&gt;1,I82/100,I82))=0,"",ROUND(K82/IF(I82="",1,IF(I82&gt;1,I82/100,I82)),4))),"")</f>
        <v/>
      </c>
      <c r="M82" s="14">
        <f>IF(B82="","",IF(D82="","価格を入力",IF(OR(G82="",G82=0),"内容量を入力",IF(AND(I82&lt;&gt;"",I82=0),"歩留まりが0",IF(L82="","入力を確認","OK")))))</f>
        <v/>
      </c>
    </row>
    <row r="83">
      <c r="A83" s="7" t="n">
        <v>79</v>
      </c>
      <c r="B83" s="8" t="n"/>
      <c r="C83" s="8" t="n"/>
      <c r="D83" s="9" t="n"/>
      <c r="E83" s="8" t="n"/>
      <c r="F83" s="10" t="n"/>
      <c r="G83" s="11" t="n"/>
      <c r="H83" s="8" t="n"/>
      <c r="I83" s="10" t="n"/>
      <c r="J83" s="12">
        <f>IF(OR(B83="",D83=""),"",IFERROR(IF(E83="税抜",D83,ROUND(D83/(1+IF(F83="",'設定'!$C$6,IF(F83&gt;=1,F83/100,F83))),2)),""))</f>
        <v/>
      </c>
      <c r="K83" s="13">
        <f>IFERROR(IF(OR(J83="",G83="",G83=0),"",ROUND(J83/G83,4)),"")</f>
        <v/>
      </c>
      <c r="L83" s="13">
        <f>IFERROR(IF(K83="","",IF(IF(I83="",1,IF(I83&gt;1,I83/100,I83))=0,"",ROUND(K83/IF(I83="",1,IF(I83&gt;1,I83/100,I83)),4))),"")</f>
        <v/>
      </c>
      <c r="M83" s="14">
        <f>IF(B83="","",IF(D83="","価格を入力",IF(OR(G83="",G83=0),"内容量を入力",IF(AND(I83&lt;&gt;"",I83=0),"歩留まりが0",IF(L83="","入力を確認","OK")))))</f>
        <v/>
      </c>
    </row>
    <row r="84">
      <c r="A84" s="7" t="n">
        <v>80</v>
      </c>
      <c r="B84" s="8" t="n"/>
      <c r="C84" s="8" t="n"/>
      <c r="D84" s="9" t="n"/>
      <c r="E84" s="8" t="n"/>
      <c r="F84" s="10" t="n"/>
      <c r="G84" s="11" t="n"/>
      <c r="H84" s="8" t="n"/>
      <c r="I84" s="10" t="n"/>
      <c r="J84" s="12">
        <f>IF(OR(B84="",D84=""),"",IFERROR(IF(E84="税抜",D84,ROUND(D84/(1+IF(F84="",'設定'!$C$6,IF(F84&gt;=1,F84/100,F84))),2)),""))</f>
        <v/>
      </c>
      <c r="K84" s="13">
        <f>IFERROR(IF(OR(J84="",G84="",G84=0),"",ROUND(J84/G84,4)),"")</f>
        <v/>
      </c>
      <c r="L84" s="13">
        <f>IFERROR(IF(K84="","",IF(IF(I84="",1,IF(I84&gt;1,I84/100,I84))=0,"",ROUND(K84/IF(I84="",1,IF(I84&gt;1,I84/100,I84)),4))),"")</f>
        <v/>
      </c>
      <c r="M84" s="14">
        <f>IF(B84="","",IF(D84="","価格を入力",IF(OR(G84="",G84=0),"内容量を入力",IF(AND(I84&lt;&gt;"",I84=0),"歩留まりが0",IF(L84="","入力を確認","OK")))))</f>
        <v/>
      </c>
    </row>
    <row r="85">
      <c r="A85" s="7" t="n">
        <v>81</v>
      </c>
      <c r="B85" s="8" t="n"/>
      <c r="C85" s="8" t="n"/>
      <c r="D85" s="9" t="n"/>
      <c r="E85" s="8" t="n"/>
      <c r="F85" s="10" t="n"/>
      <c r="G85" s="11" t="n"/>
      <c r="H85" s="8" t="n"/>
      <c r="I85" s="10" t="n"/>
      <c r="J85" s="12">
        <f>IF(OR(B85="",D85=""),"",IFERROR(IF(E85="税抜",D85,ROUND(D85/(1+IF(F85="",'設定'!$C$6,IF(F85&gt;=1,F85/100,F85))),2)),""))</f>
        <v/>
      </c>
      <c r="K85" s="13">
        <f>IFERROR(IF(OR(J85="",G85="",G85=0),"",ROUND(J85/G85,4)),"")</f>
        <v/>
      </c>
      <c r="L85" s="13">
        <f>IFERROR(IF(K85="","",IF(IF(I85="",1,IF(I85&gt;1,I85/100,I85))=0,"",ROUND(K85/IF(I85="",1,IF(I85&gt;1,I85/100,I85)),4))),"")</f>
        <v/>
      </c>
      <c r="M85" s="14">
        <f>IF(B85="","",IF(D85="","価格を入力",IF(OR(G85="",G85=0),"内容量を入力",IF(AND(I85&lt;&gt;"",I85=0),"歩留まりが0",IF(L85="","入力を確認","OK")))))</f>
        <v/>
      </c>
    </row>
    <row r="86">
      <c r="A86" s="7" t="n">
        <v>82</v>
      </c>
      <c r="B86" s="8" t="n"/>
      <c r="C86" s="8" t="n"/>
      <c r="D86" s="9" t="n"/>
      <c r="E86" s="8" t="n"/>
      <c r="F86" s="10" t="n"/>
      <c r="G86" s="11" t="n"/>
      <c r="H86" s="8" t="n"/>
      <c r="I86" s="10" t="n"/>
      <c r="J86" s="12">
        <f>IF(OR(B86="",D86=""),"",IFERROR(IF(E86="税抜",D86,ROUND(D86/(1+IF(F86="",'設定'!$C$6,IF(F86&gt;=1,F86/100,F86))),2)),""))</f>
        <v/>
      </c>
      <c r="K86" s="13">
        <f>IFERROR(IF(OR(J86="",G86="",G86=0),"",ROUND(J86/G86,4)),"")</f>
        <v/>
      </c>
      <c r="L86" s="13">
        <f>IFERROR(IF(K86="","",IF(IF(I86="",1,IF(I86&gt;1,I86/100,I86))=0,"",ROUND(K86/IF(I86="",1,IF(I86&gt;1,I86/100,I86)),4))),"")</f>
        <v/>
      </c>
      <c r="M86" s="14">
        <f>IF(B86="","",IF(D86="","価格を入力",IF(OR(G86="",G86=0),"内容量を入力",IF(AND(I86&lt;&gt;"",I86=0),"歩留まりが0",IF(L86="","入力を確認","OK")))))</f>
        <v/>
      </c>
    </row>
    <row r="87">
      <c r="A87" s="7" t="n">
        <v>83</v>
      </c>
      <c r="B87" s="8" t="n"/>
      <c r="C87" s="8" t="n"/>
      <c r="D87" s="9" t="n"/>
      <c r="E87" s="8" t="n"/>
      <c r="F87" s="10" t="n"/>
      <c r="G87" s="11" t="n"/>
      <c r="H87" s="8" t="n"/>
      <c r="I87" s="10" t="n"/>
      <c r="J87" s="12">
        <f>IF(OR(B87="",D87=""),"",IFERROR(IF(E87="税抜",D87,ROUND(D87/(1+IF(F87="",'設定'!$C$6,IF(F87&gt;=1,F87/100,F87))),2)),""))</f>
        <v/>
      </c>
      <c r="K87" s="13">
        <f>IFERROR(IF(OR(J87="",G87="",G87=0),"",ROUND(J87/G87,4)),"")</f>
        <v/>
      </c>
      <c r="L87" s="13">
        <f>IFERROR(IF(K87="","",IF(IF(I87="",1,IF(I87&gt;1,I87/100,I87))=0,"",ROUND(K87/IF(I87="",1,IF(I87&gt;1,I87/100,I87)),4))),"")</f>
        <v/>
      </c>
      <c r="M87" s="14">
        <f>IF(B87="","",IF(D87="","価格を入力",IF(OR(G87="",G87=0),"内容量を入力",IF(AND(I87&lt;&gt;"",I87=0),"歩留まりが0",IF(L87="","入力を確認","OK")))))</f>
        <v/>
      </c>
    </row>
    <row r="88">
      <c r="A88" s="7" t="n">
        <v>84</v>
      </c>
      <c r="B88" s="8" t="n"/>
      <c r="C88" s="8" t="n"/>
      <c r="D88" s="9" t="n"/>
      <c r="E88" s="8" t="n"/>
      <c r="F88" s="10" t="n"/>
      <c r="G88" s="11" t="n"/>
      <c r="H88" s="8" t="n"/>
      <c r="I88" s="10" t="n"/>
      <c r="J88" s="12">
        <f>IF(OR(B88="",D88=""),"",IFERROR(IF(E88="税抜",D88,ROUND(D88/(1+IF(F88="",'設定'!$C$6,IF(F88&gt;=1,F88/100,F88))),2)),""))</f>
        <v/>
      </c>
      <c r="K88" s="13">
        <f>IFERROR(IF(OR(J88="",G88="",G88=0),"",ROUND(J88/G88,4)),"")</f>
        <v/>
      </c>
      <c r="L88" s="13">
        <f>IFERROR(IF(K88="","",IF(IF(I88="",1,IF(I88&gt;1,I88/100,I88))=0,"",ROUND(K88/IF(I88="",1,IF(I88&gt;1,I88/100,I88)),4))),"")</f>
        <v/>
      </c>
      <c r="M88" s="14">
        <f>IF(B88="","",IF(D88="","価格を入力",IF(OR(G88="",G88=0),"内容量を入力",IF(AND(I88&lt;&gt;"",I88=0),"歩留まりが0",IF(L88="","入力を確認","OK")))))</f>
        <v/>
      </c>
    </row>
    <row r="89">
      <c r="A89" s="7" t="n">
        <v>85</v>
      </c>
      <c r="B89" s="8" t="n"/>
      <c r="C89" s="8" t="n"/>
      <c r="D89" s="9" t="n"/>
      <c r="E89" s="8" t="n"/>
      <c r="F89" s="10" t="n"/>
      <c r="G89" s="11" t="n"/>
      <c r="H89" s="8" t="n"/>
      <c r="I89" s="10" t="n"/>
      <c r="J89" s="12">
        <f>IF(OR(B89="",D89=""),"",IFERROR(IF(E89="税抜",D89,ROUND(D89/(1+IF(F89="",'設定'!$C$6,IF(F89&gt;=1,F89/100,F89))),2)),""))</f>
        <v/>
      </c>
      <c r="K89" s="13">
        <f>IFERROR(IF(OR(J89="",G89="",G89=0),"",ROUND(J89/G89,4)),"")</f>
        <v/>
      </c>
      <c r="L89" s="13">
        <f>IFERROR(IF(K89="","",IF(IF(I89="",1,IF(I89&gt;1,I89/100,I89))=0,"",ROUND(K89/IF(I89="",1,IF(I89&gt;1,I89/100,I89)),4))),"")</f>
        <v/>
      </c>
      <c r="M89" s="14">
        <f>IF(B89="","",IF(D89="","価格を入力",IF(OR(G89="",G89=0),"内容量を入力",IF(AND(I89&lt;&gt;"",I89=0),"歩留まりが0",IF(L89="","入力を確認","OK")))))</f>
        <v/>
      </c>
    </row>
    <row r="90">
      <c r="A90" s="7" t="n">
        <v>86</v>
      </c>
      <c r="B90" s="8" t="n"/>
      <c r="C90" s="8" t="n"/>
      <c r="D90" s="9" t="n"/>
      <c r="E90" s="8" t="n"/>
      <c r="F90" s="10" t="n"/>
      <c r="G90" s="11" t="n"/>
      <c r="H90" s="8" t="n"/>
      <c r="I90" s="10" t="n"/>
      <c r="J90" s="12">
        <f>IF(OR(B90="",D90=""),"",IFERROR(IF(E90="税抜",D90,ROUND(D90/(1+IF(F90="",'設定'!$C$6,IF(F90&gt;=1,F90/100,F90))),2)),""))</f>
        <v/>
      </c>
      <c r="K90" s="13">
        <f>IFERROR(IF(OR(J90="",G90="",G90=0),"",ROUND(J90/G90,4)),"")</f>
        <v/>
      </c>
      <c r="L90" s="13">
        <f>IFERROR(IF(K90="","",IF(IF(I90="",1,IF(I90&gt;1,I90/100,I90))=0,"",ROUND(K90/IF(I90="",1,IF(I90&gt;1,I90/100,I90)),4))),"")</f>
        <v/>
      </c>
      <c r="M90" s="14">
        <f>IF(B90="","",IF(D90="","価格を入力",IF(OR(G90="",G90=0),"内容量を入力",IF(AND(I90&lt;&gt;"",I90=0),"歩留まりが0",IF(L90="","入力を確認","OK")))))</f>
        <v/>
      </c>
    </row>
    <row r="91">
      <c r="A91" s="7" t="n">
        <v>87</v>
      </c>
      <c r="B91" s="8" t="n"/>
      <c r="C91" s="8" t="n"/>
      <c r="D91" s="9" t="n"/>
      <c r="E91" s="8" t="n"/>
      <c r="F91" s="10" t="n"/>
      <c r="G91" s="11" t="n"/>
      <c r="H91" s="8" t="n"/>
      <c r="I91" s="10" t="n"/>
      <c r="J91" s="12">
        <f>IF(OR(B91="",D91=""),"",IFERROR(IF(E91="税抜",D91,ROUND(D91/(1+IF(F91="",'設定'!$C$6,IF(F91&gt;=1,F91/100,F91))),2)),""))</f>
        <v/>
      </c>
      <c r="K91" s="13">
        <f>IFERROR(IF(OR(J91="",G91="",G91=0),"",ROUND(J91/G91,4)),"")</f>
        <v/>
      </c>
      <c r="L91" s="13">
        <f>IFERROR(IF(K91="","",IF(IF(I91="",1,IF(I91&gt;1,I91/100,I91))=0,"",ROUND(K91/IF(I91="",1,IF(I91&gt;1,I91/100,I91)),4))),"")</f>
        <v/>
      </c>
      <c r="M91" s="14">
        <f>IF(B91="","",IF(D91="","価格を入力",IF(OR(G91="",G91=0),"内容量を入力",IF(AND(I91&lt;&gt;"",I91=0),"歩留まりが0",IF(L91="","入力を確認","OK")))))</f>
        <v/>
      </c>
    </row>
    <row r="92">
      <c r="A92" s="7" t="n">
        <v>88</v>
      </c>
      <c r="B92" s="8" t="n"/>
      <c r="C92" s="8" t="n"/>
      <c r="D92" s="9" t="n"/>
      <c r="E92" s="8" t="n"/>
      <c r="F92" s="10" t="n"/>
      <c r="G92" s="11" t="n"/>
      <c r="H92" s="8" t="n"/>
      <c r="I92" s="10" t="n"/>
      <c r="J92" s="12">
        <f>IF(OR(B92="",D92=""),"",IFERROR(IF(E92="税抜",D92,ROUND(D92/(1+IF(F92="",'設定'!$C$6,IF(F92&gt;=1,F92/100,F92))),2)),""))</f>
        <v/>
      </c>
      <c r="K92" s="13">
        <f>IFERROR(IF(OR(J92="",G92="",G92=0),"",ROUND(J92/G92,4)),"")</f>
        <v/>
      </c>
      <c r="L92" s="13">
        <f>IFERROR(IF(K92="","",IF(IF(I92="",1,IF(I92&gt;1,I92/100,I92))=0,"",ROUND(K92/IF(I92="",1,IF(I92&gt;1,I92/100,I92)),4))),"")</f>
        <v/>
      </c>
      <c r="M92" s="14">
        <f>IF(B92="","",IF(D92="","価格を入力",IF(OR(G92="",G92=0),"内容量を入力",IF(AND(I92&lt;&gt;"",I92=0),"歩留まりが0",IF(L92="","入力を確認","OK")))))</f>
        <v/>
      </c>
    </row>
    <row r="93">
      <c r="A93" s="7" t="n">
        <v>89</v>
      </c>
      <c r="B93" s="8" t="n"/>
      <c r="C93" s="8" t="n"/>
      <c r="D93" s="9" t="n"/>
      <c r="E93" s="8" t="n"/>
      <c r="F93" s="10" t="n"/>
      <c r="G93" s="11" t="n"/>
      <c r="H93" s="8" t="n"/>
      <c r="I93" s="10" t="n"/>
      <c r="J93" s="12">
        <f>IF(OR(B93="",D93=""),"",IFERROR(IF(E93="税抜",D93,ROUND(D93/(1+IF(F93="",'設定'!$C$6,IF(F93&gt;=1,F93/100,F93))),2)),""))</f>
        <v/>
      </c>
      <c r="K93" s="13">
        <f>IFERROR(IF(OR(J93="",G93="",G93=0),"",ROUND(J93/G93,4)),"")</f>
        <v/>
      </c>
      <c r="L93" s="13">
        <f>IFERROR(IF(K93="","",IF(IF(I93="",1,IF(I93&gt;1,I93/100,I93))=0,"",ROUND(K93/IF(I93="",1,IF(I93&gt;1,I93/100,I93)),4))),"")</f>
        <v/>
      </c>
      <c r="M93" s="14">
        <f>IF(B93="","",IF(D93="","価格を入力",IF(OR(G93="",G93=0),"内容量を入力",IF(AND(I93&lt;&gt;"",I93=0),"歩留まりが0",IF(L93="","入力を確認","OK")))))</f>
        <v/>
      </c>
    </row>
    <row r="94">
      <c r="A94" s="7" t="n">
        <v>90</v>
      </c>
      <c r="B94" s="8" t="n"/>
      <c r="C94" s="8" t="n"/>
      <c r="D94" s="9" t="n"/>
      <c r="E94" s="8" t="n"/>
      <c r="F94" s="10" t="n"/>
      <c r="G94" s="11" t="n"/>
      <c r="H94" s="8" t="n"/>
      <c r="I94" s="10" t="n"/>
      <c r="J94" s="12">
        <f>IF(OR(B94="",D94=""),"",IFERROR(IF(E94="税抜",D94,ROUND(D94/(1+IF(F94="",'設定'!$C$6,IF(F94&gt;=1,F94/100,F94))),2)),""))</f>
        <v/>
      </c>
      <c r="K94" s="13">
        <f>IFERROR(IF(OR(J94="",G94="",G94=0),"",ROUND(J94/G94,4)),"")</f>
        <v/>
      </c>
      <c r="L94" s="13">
        <f>IFERROR(IF(K94="","",IF(IF(I94="",1,IF(I94&gt;1,I94/100,I94))=0,"",ROUND(K94/IF(I94="",1,IF(I94&gt;1,I94/100,I94)),4))),"")</f>
        <v/>
      </c>
      <c r="M94" s="14">
        <f>IF(B94="","",IF(D94="","価格を入力",IF(OR(G94="",G94=0),"内容量を入力",IF(AND(I94&lt;&gt;"",I94=0),"歩留まりが0",IF(L94="","入力を確認","OK")))))</f>
        <v/>
      </c>
    </row>
    <row r="95">
      <c r="A95" s="7" t="n">
        <v>91</v>
      </c>
      <c r="B95" s="8" t="n"/>
      <c r="C95" s="8" t="n"/>
      <c r="D95" s="9" t="n"/>
      <c r="E95" s="8" t="n"/>
      <c r="F95" s="10" t="n"/>
      <c r="G95" s="11" t="n"/>
      <c r="H95" s="8" t="n"/>
      <c r="I95" s="10" t="n"/>
      <c r="J95" s="12">
        <f>IF(OR(B95="",D95=""),"",IFERROR(IF(E95="税抜",D95,ROUND(D95/(1+IF(F95="",'設定'!$C$6,IF(F95&gt;=1,F95/100,F95))),2)),""))</f>
        <v/>
      </c>
      <c r="K95" s="13">
        <f>IFERROR(IF(OR(J95="",G95="",G95=0),"",ROUND(J95/G95,4)),"")</f>
        <v/>
      </c>
      <c r="L95" s="13">
        <f>IFERROR(IF(K95="","",IF(IF(I95="",1,IF(I95&gt;1,I95/100,I95))=0,"",ROUND(K95/IF(I95="",1,IF(I95&gt;1,I95/100,I95)),4))),"")</f>
        <v/>
      </c>
      <c r="M95" s="14">
        <f>IF(B95="","",IF(D95="","価格を入力",IF(OR(G95="",G95=0),"内容量を入力",IF(AND(I95&lt;&gt;"",I95=0),"歩留まりが0",IF(L95="","入力を確認","OK")))))</f>
        <v/>
      </c>
    </row>
    <row r="96">
      <c r="A96" s="7" t="n">
        <v>92</v>
      </c>
      <c r="B96" s="8" t="n"/>
      <c r="C96" s="8" t="n"/>
      <c r="D96" s="9" t="n"/>
      <c r="E96" s="8" t="n"/>
      <c r="F96" s="10" t="n"/>
      <c r="G96" s="11" t="n"/>
      <c r="H96" s="8" t="n"/>
      <c r="I96" s="10" t="n"/>
      <c r="J96" s="12">
        <f>IF(OR(B96="",D96=""),"",IFERROR(IF(E96="税抜",D96,ROUND(D96/(1+IF(F96="",'設定'!$C$6,IF(F96&gt;=1,F96/100,F96))),2)),""))</f>
        <v/>
      </c>
      <c r="K96" s="13">
        <f>IFERROR(IF(OR(J96="",G96="",G96=0),"",ROUND(J96/G96,4)),"")</f>
        <v/>
      </c>
      <c r="L96" s="13">
        <f>IFERROR(IF(K96="","",IF(IF(I96="",1,IF(I96&gt;1,I96/100,I96))=0,"",ROUND(K96/IF(I96="",1,IF(I96&gt;1,I96/100,I96)),4))),"")</f>
        <v/>
      </c>
      <c r="M96" s="14">
        <f>IF(B96="","",IF(D96="","価格を入力",IF(OR(G96="",G96=0),"内容量を入力",IF(AND(I96&lt;&gt;"",I96=0),"歩留まりが0",IF(L96="","入力を確認","OK")))))</f>
        <v/>
      </c>
    </row>
    <row r="97">
      <c r="A97" s="7" t="n">
        <v>93</v>
      </c>
      <c r="B97" s="8" t="n"/>
      <c r="C97" s="8" t="n"/>
      <c r="D97" s="9" t="n"/>
      <c r="E97" s="8" t="n"/>
      <c r="F97" s="10" t="n"/>
      <c r="G97" s="11" t="n"/>
      <c r="H97" s="8" t="n"/>
      <c r="I97" s="10" t="n"/>
      <c r="J97" s="12">
        <f>IF(OR(B97="",D97=""),"",IFERROR(IF(E97="税抜",D97,ROUND(D97/(1+IF(F97="",'設定'!$C$6,IF(F97&gt;=1,F97/100,F97))),2)),""))</f>
        <v/>
      </c>
      <c r="K97" s="13">
        <f>IFERROR(IF(OR(J97="",G97="",G97=0),"",ROUND(J97/G97,4)),"")</f>
        <v/>
      </c>
      <c r="L97" s="13">
        <f>IFERROR(IF(K97="","",IF(IF(I97="",1,IF(I97&gt;1,I97/100,I97))=0,"",ROUND(K97/IF(I97="",1,IF(I97&gt;1,I97/100,I97)),4))),"")</f>
        <v/>
      </c>
      <c r="M97" s="14">
        <f>IF(B97="","",IF(D97="","価格を入力",IF(OR(G97="",G97=0),"内容量を入力",IF(AND(I97&lt;&gt;"",I97=0),"歩留まりが0",IF(L97="","入力を確認","OK")))))</f>
        <v/>
      </c>
    </row>
    <row r="98">
      <c r="A98" s="7" t="n">
        <v>94</v>
      </c>
      <c r="B98" s="8" t="n"/>
      <c r="C98" s="8" t="n"/>
      <c r="D98" s="9" t="n"/>
      <c r="E98" s="8" t="n"/>
      <c r="F98" s="10" t="n"/>
      <c r="G98" s="11" t="n"/>
      <c r="H98" s="8" t="n"/>
      <c r="I98" s="10" t="n"/>
      <c r="J98" s="12">
        <f>IF(OR(B98="",D98=""),"",IFERROR(IF(E98="税抜",D98,ROUND(D98/(1+IF(F98="",'設定'!$C$6,IF(F98&gt;=1,F98/100,F98))),2)),""))</f>
        <v/>
      </c>
      <c r="K98" s="13">
        <f>IFERROR(IF(OR(J98="",G98="",G98=0),"",ROUND(J98/G98,4)),"")</f>
        <v/>
      </c>
      <c r="L98" s="13">
        <f>IFERROR(IF(K98="","",IF(IF(I98="",1,IF(I98&gt;1,I98/100,I98))=0,"",ROUND(K98/IF(I98="",1,IF(I98&gt;1,I98/100,I98)),4))),"")</f>
        <v/>
      </c>
      <c r="M98" s="14">
        <f>IF(B98="","",IF(D98="","価格を入力",IF(OR(G98="",G98=0),"内容量を入力",IF(AND(I98&lt;&gt;"",I98=0),"歩留まりが0",IF(L98="","入力を確認","OK")))))</f>
        <v/>
      </c>
    </row>
    <row r="99">
      <c r="A99" s="7" t="n">
        <v>95</v>
      </c>
      <c r="B99" s="8" t="n"/>
      <c r="C99" s="8" t="n"/>
      <c r="D99" s="9" t="n"/>
      <c r="E99" s="8" t="n"/>
      <c r="F99" s="10" t="n"/>
      <c r="G99" s="11" t="n"/>
      <c r="H99" s="8" t="n"/>
      <c r="I99" s="10" t="n"/>
      <c r="J99" s="12">
        <f>IF(OR(B99="",D99=""),"",IFERROR(IF(E99="税抜",D99,ROUND(D99/(1+IF(F99="",'設定'!$C$6,IF(F99&gt;=1,F99/100,F99))),2)),""))</f>
        <v/>
      </c>
      <c r="K99" s="13">
        <f>IFERROR(IF(OR(J99="",G99="",G99=0),"",ROUND(J99/G99,4)),"")</f>
        <v/>
      </c>
      <c r="L99" s="13">
        <f>IFERROR(IF(K99="","",IF(IF(I99="",1,IF(I99&gt;1,I99/100,I99))=0,"",ROUND(K99/IF(I99="",1,IF(I99&gt;1,I99/100,I99)),4))),"")</f>
        <v/>
      </c>
      <c r="M99" s="14">
        <f>IF(B99="","",IF(D99="","価格を入力",IF(OR(G99="",G99=0),"内容量を入力",IF(AND(I99&lt;&gt;"",I99=0),"歩留まりが0",IF(L99="","入力を確認","OK")))))</f>
        <v/>
      </c>
    </row>
    <row r="100">
      <c r="A100" s="7" t="n">
        <v>96</v>
      </c>
      <c r="B100" s="8" t="n"/>
      <c r="C100" s="8" t="n"/>
      <c r="D100" s="9" t="n"/>
      <c r="E100" s="8" t="n"/>
      <c r="F100" s="10" t="n"/>
      <c r="G100" s="11" t="n"/>
      <c r="H100" s="8" t="n"/>
      <c r="I100" s="10" t="n"/>
      <c r="J100" s="12">
        <f>IF(OR(B100="",D100=""),"",IFERROR(IF(E100="税抜",D100,ROUND(D100/(1+IF(F100="",'設定'!$C$6,IF(F100&gt;=1,F100/100,F100))),2)),""))</f>
        <v/>
      </c>
      <c r="K100" s="13">
        <f>IFERROR(IF(OR(J100="",G100="",G100=0),"",ROUND(J100/G100,4)),"")</f>
        <v/>
      </c>
      <c r="L100" s="13">
        <f>IFERROR(IF(K100="","",IF(IF(I100="",1,IF(I100&gt;1,I100/100,I100))=0,"",ROUND(K100/IF(I100="",1,IF(I100&gt;1,I100/100,I100)),4))),"")</f>
        <v/>
      </c>
      <c r="M100" s="14">
        <f>IF(B100="","",IF(D100="","価格を入力",IF(OR(G100="",G100=0),"内容量を入力",IF(AND(I100&lt;&gt;"",I100=0),"歩留まりが0",IF(L100="","入力を確認","OK")))))</f>
        <v/>
      </c>
    </row>
    <row r="101">
      <c r="A101" s="7" t="n">
        <v>97</v>
      </c>
      <c r="B101" s="8" t="n"/>
      <c r="C101" s="8" t="n"/>
      <c r="D101" s="9" t="n"/>
      <c r="E101" s="8" t="n"/>
      <c r="F101" s="10" t="n"/>
      <c r="G101" s="11" t="n"/>
      <c r="H101" s="8" t="n"/>
      <c r="I101" s="10" t="n"/>
      <c r="J101" s="12">
        <f>IF(OR(B101="",D101=""),"",IFERROR(IF(E101="税抜",D101,ROUND(D101/(1+IF(F101="",'設定'!$C$6,IF(F101&gt;=1,F101/100,F101))),2)),""))</f>
        <v/>
      </c>
      <c r="K101" s="13">
        <f>IFERROR(IF(OR(J101="",G101="",G101=0),"",ROUND(J101/G101,4)),"")</f>
        <v/>
      </c>
      <c r="L101" s="13">
        <f>IFERROR(IF(K101="","",IF(IF(I101="",1,IF(I101&gt;1,I101/100,I101))=0,"",ROUND(K101/IF(I101="",1,IF(I101&gt;1,I101/100,I101)),4))),"")</f>
        <v/>
      </c>
      <c r="M101" s="14">
        <f>IF(B101="","",IF(D101="","価格を入力",IF(OR(G101="",G101=0),"内容量を入力",IF(AND(I101&lt;&gt;"",I101=0),"歩留まりが0",IF(L101="","入力を確認","OK")))))</f>
        <v/>
      </c>
    </row>
    <row r="102">
      <c r="A102" s="7" t="n">
        <v>98</v>
      </c>
      <c r="B102" s="8" t="n"/>
      <c r="C102" s="8" t="n"/>
      <c r="D102" s="9" t="n"/>
      <c r="E102" s="8" t="n"/>
      <c r="F102" s="10" t="n"/>
      <c r="G102" s="11" t="n"/>
      <c r="H102" s="8" t="n"/>
      <c r="I102" s="10" t="n"/>
      <c r="J102" s="12">
        <f>IF(OR(B102="",D102=""),"",IFERROR(IF(E102="税抜",D102,ROUND(D102/(1+IF(F102="",'設定'!$C$6,IF(F102&gt;=1,F102/100,F102))),2)),""))</f>
        <v/>
      </c>
      <c r="K102" s="13">
        <f>IFERROR(IF(OR(J102="",G102="",G102=0),"",ROUND(J102/G102,4)),"")</f>
        <v/>
      </c>
      <c r="L102" s="13">
        <f>IFERROR(IF(K102="","",IF(IF(I102="",1,IF(I102&gt;1,I102/100,I102))=0,"",ROUND(K102/IF(I102="",1,IF(I102&gt;1,I102/100,I102)),4))),"")</f>
        <v/>
      </c>
      <c r="M102" s="14">
        <f>IF(B102="","",IF(D102="","価格を入力",IF(OR(G102="",G102=0),"内容量を入力",IF(AND(I102&lt;&gt;"",I102=0),"歩留まりが0",IF(L102="","入力を確認","OK")))))</f>
        <v/>
      </c>
    </row>
    <row r="103">
      <c r="A103" s="7" t="n">
        <v>99</v>
      </c>
      <c r="B103" s="8" t="n"/>
      <c r="C103" s="8" t="n"/>
      <c r="D103" s="9" t="n"/>
      <c r="E103" s="8" t="n"/>
      <c r="F103" s="10" t="n"/>
      <c r="G103" s="11" t="n"/>
      <c r="H103" s="8" t="n"/>
      <c r="I103" s="10" t="n"/>
      <c r="J103" s="12">
        <f>IF(OR(B103="",D103=""),"",IFERROR(IF(E103="税抜",D103,ROUND(D103/(1+IF(F103="",'設定'!$C$6,IF(F103&gt;=1,F103/100,F103))),2)),""))</f>
        <v/>
      </c>
      <c r="K103" s="13">
        <f>IFERROR(IF(OR(J103="",G103="",G103=0),"",ROUND(J103/G103,4)),"")</f>
        <v/>
      </c>
      <c r="L103" s="13">
        <f>IFERROR(IF(K103="","",IF(IF(I103="",1,IF(I103&gt;1,I103/100,I103))=0,"",ROUND(K103/IF(I103="",1,IF(I103&gt;1,I103/100,I103)),4))),"")</f>
        <v/>
      </c>
      <c r="M103" s="14">
        <f>IF(B103="","",IF(D103="","価格を入力",IF(OR(G103="",G103=0),"内容量を入力",IF(AND(I103&lt;&gt;"",I103=0),"歩留まりが0",IF(L103="","入力を確認","OK")))))</f>
        <v/>
      </c>
    </row>
    <row r="104">
      <c r="A104" s="7" t="n">
        <v>100</v>
      </c>
      <c r="B104" s="8" t="n"/>
      <c r="C104" s="8" t="n"/>
      <c r="D104" s="9" t="n"/>
      <c r="E104" s="8" t="n"/>
      <c r="F104" s="10" t="n"/>
      <c r="G104" s="11" t="n"/>
      <c r="H104" s="8" t="n"/>
      <c r="I104" s="10" t="n"/>
      <c r="J104" s="12">
        <f>IF(OR(B104="",D104=""),"",IFERROR(IF(E104="税抜",D104,ROUND(D104/(1+IF(F104="",'設定'!$C$6,IF(F104&gt;=1,F104/100,F104))),2)),""))</f>
        <v/>
      </c>
      <c r="K104" s="13">
        <f>IFERROR(IF(OR(J104="",G104="",G104=0),"",ROUND(J104/G104,4)),"")</f>
        <v/>
      </c>
      <c r="L104" s="13">
        <f>IFERROR(IF(K104="","",IF(IF(I104="",1,IF(I104&gt;1,I104/100,I104))=0,"",ROUND(K104/IF(I104="",1,IF(I104&gt;1,I104/100,I104)),4))),"")</f>
        <v/>
      </c>
      <c r="M104" s="14">
        <f>IF(B104="","",IF(D104="","価格を入力",IF(OR(G104="",G104=0),"内容量を入力",IF(AND(I104&lt;&gt;"",I104=0),"歩留まりが0",IF(L104="","入力を確認","OK")))))</f>
        <v/>
      </c>
    </row>
  </sheetData>
  <dataValidations count="1">
    <dataValidation sqref="E5:E104" showDropDown="0" showInputMessage="0" showErrorMessage="0" allowBlank="1" errorTitle="税区分" error="「税込」か「税抜」を選んでください" type="list">
      <formula1>'設定'!$B$11:$B$12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4" customWidth="1" min="3" max="3"/>
    <col width="22" customWidth="1" min="4" max="4"/>
    <col width="16" customWidth="1" min="5" max="5"/>
    <col width="13" customWidth="1" min="6" max="6"/>
    <col width="18" customWidth="1" min="7" max="7"/>
  </cols>
  <sheetData>
    <row r="1">
      <c r="A1" s="4" t="inlineStr">
        <is>
          <t>メニュー原価</t>
        </is>
      </c>
    </row>
    <row r="2">
      <c r="A2" s="5" t="inlineStr">
        <is>
          <t>黄色＝入力欄（【入力】）、灰色＝自動計算。原価・売価とも税抜で原価率を計算します。見本のメニューと金額は見本の架空の数値です。</t>
        </is>
      </c>
    </row>
    <row r="4">
      <c r="A4" s="15" t="inlineStr">
        <is>
          <t>メニュー1</t>
        </is>
      </c>
      <c r="B4" s="16" t="inlineStr">
        <is>
          <t>【入力】メニュー名</t>
        </is>
      </c>
      <c r="C4" s="8" t="inlineStr">
        <is>
          <t>豚のしょうが焼き定食（見本）</t>
        </is>
      </c>
      <c r="D4" s="17" t="n"/>
      <c r="E4" s="17" t="n"/>
      <c r="F4" s="17" t="n"/>
      <c r="G4" s="18" t="n"/>
    </row>
    <row r="5">
      <c r="B5" s="7" t="inlineStr">
        <is>
          <t>【入力】販売価格（税込・円）</t>
        </is>
      </c>
      <c r="C5" s="9" t="n">
        <v>980</v>
      </c>
      <c r="D5" s="19" t="inlineStr">
        <is>
          <t>【入力】目標原価率（空欄=設定値）</t>
        </is>
      </c>
      <c r="E5" s="10" t="n"/>
      <c r="F5" s="19" t="inlineStr">
        <is>
          <t>【入力】売価の税率（空欄=設定値）</t>
        </is>
      </c>
      <c r="G5" s="10" t="n"/>
    </row>
    <row r="6" ht="32" customHeight="1">
      <c r="A6" s="20" t="inlineStr">
        <is>
          <t>No</t>
        </is>
      </c>
      <c r="B6" s="20" t="inlineStr">
        <is>
          <t>【入力】材料名（リストから選ぶ）</t>
        </is>
      </c>
      <c r="C6" s="20" t="inlineStr">
        <is>
          <t>【入力】使用量</t>
        </is>
      </c>
      <c r="D6" s="20" t="inlineStr">
        <is>
          <t>単位［自動］</t>
        </is>
      </c>
      <c r="E6" s="20" t="inlineStr">
        <is>
          <t>単価（税抜・円/単位）［自動］</t>
        </is>
      </c>
      <c r="F6" s="20" t="inlineStr">
        <is>
          <t>原価（円）［自動］</t>
        </is>
      </c>
      <c r="G6" s="20" t="inlineStr">
        <is>
          <t>チェック［自動］</t>
        </is>
      </c>
    </row>
    <row r="7">
      <c r="A7" s="7" t="n">
        <v>1</v>
      </c>
      <c r="B7" s="8" t="inlineStr">
        <is>
          <t>豚こま切れ肉</t>
        </is>
      </c>
      <c r="C7" s="11" t="n">
        <v>120</v>
      </c>
      <c r="D7" s="14">
        <f>IF(B7="","",IFERROR(VLOOKUP(B7,'材料マスタ'!$B$5:$L$104,7,FALSE)&amp;"",""))</f>
        <v/>
      </c>
      <c r="E7" s="13">
        <f>IF(B7="","",IFERROR(VLOOKUP(B7,'材料マスタ'!$B$5:$L$104,11,FALSE),""))</f>
        <v/>
      </c>
      <c r="F7" s="12">
        <f>IF(OR(B7="",C7=""),"",IFERROR(ROUND(C7*E7,2),""))</f>
        <v/>
      </c>
      <c r="G7" s="14">
        <f>IF(B7="","",IFERROR(IF(VLOOKUP(B7,'材料マスタ'!$B$5:$L$104,11,FALSE)="","材料マスタを確認",IF(C7="","使用量を入力","OK")),"未登録の材料"))</f>
        <v/>
      </c>
    </row>
    <row r="8">
      <c r="A8" s="7" t="n">
        <v>2</v>
      </c>
      <c r="B8" s="8" t="inlineStr">
        <is>
          <t>玉ねぎ</t>
        </is>
      </c>
      <c r="C8" s="11" t="n">
        <v>50</v>
      </c>
      <c r="D8" s="14">
        <f>IF(B8="","",IFERROR(VLOOKUP(B8,'材料マスタ'!$B$5:$L$104,7,FALSE)&amp;"",""))</f>
        <v/>
      </c>
      <c r="E8" s="13">
        <f>IF(B8="","",IFERROR(VLOOKUP(B8,'材料マスタ'!$B$5:$L$104,11,FALSE),""))</f>
        <v/>
      </c>
      <c r="F8" s="12">
        <f>IF(OR(B8="",C8=""),"",IFERROR(ROUND(C8*E8,2),""))</f>
        <v/>
      </c>
      <c r="G8" s="14">
        <f>IF(B8="","",IFERROR(IF(VLOOKUP(B8,'材料マスタ'!$B$5:$L$104,11,FALSE)="","材料マスタを確認",IF(C8="","使用量を入力","OK")),"未登録の材料"))</f>
        <v/>
      </c>
    </row>
    <row r="9">
      <c r="A9" s="7" t="n">
        <v>3</v>
      </c>
      <c r="B9" s="8" t="inlineStr">
        <is>
          <t>キャベツ</t>
        </is>
      </c>
      <c r="C9" s="11" t="n">
        <v>60</v>
      </c>
      <c r="D9" s="14">
        <f>IF(B9="","",IFERROR(VLOOKUP(B9,'材料マスタ'!$B$5:$L$104,7,FALSE)&amp;"",""))</f>
        <v/>
      </c>
      <c r="E9" s="13">
        <f>IF(B9="","",IFERROR(VLOOKUP(B9,'材料マスタ'!$B$5:$L$104,11,FALSE),""))</f>
        <v/>
      </c>
      <c r="F9" s="12">
        <f>IF(OR(B9="",C9=""),"",IFERROR(ROUND(C9*E9,2),""))</f>
        <v/>
      </c>
      <c r="G9" s="14">
        <f>IF(B9="","",IFERROR(IF(VLOOKUP(B9,'材料マスタ'!$B$5:$L$104,11,FALSE)="","材料マスタを確認",IF(C9="","使用量を入力","OK")),"未登録の材料"))</f>
        <v/>
      </c>
    </row>
    <row r="10">
      <c r="A10" s="7" t="n">
        <v>4</v>
      </c>
      <c r="B10" s="8" t="inlineStr">
        <is>
          <t>しょうゆ</t>
        </is>
      </c>
      <c r="C10" s="11" t="n">
        <v>15</v>
      </c>
      <c r="D10" s="14">
        <f>IF(B10="","",IFERROR(VLOOKUP(B10,'材料マスタ'!$B$5:$L$104,7,FALSE)&amp;"",""))</f>
        <v/>
      </c>
      <c r="E10" s="13">
        <f>IF(B10="","",IFERROR(VLOOKUP(B10,'材料マスタ'!$B$5:$L$104,11,FALSE),""))</f>
        <v/>
      </c>
      <c r="F10" s="12">
        <f>IF(OR(B10="",C10=""),"",IFERROR(ROUND(C10*E10,2),""))</f>
        <v/>
      </c>
      <c r="G10" s="14">
        <f>IF(B10="","",IFERROR(IF(VLOOKUP(B10,'材料マスタ'!$B$5:$L$104,11,FALSE)="","材料マスタを確認",IF(C10="","使用量を入力","OK")),"未登録の材料"))</f>
        <v/>
      </c>
    </row>
    <row r="11">
      <c r="A11" s="7" t="n">
        <v>5</v>
      </c>
      <c r="B11" s="8" t="inlineStr">
        <is>
          <t>米</t>
        </is>
      </c>
      <c r="C11" s="11" t="n">
        <v>150</v>
      </c>
      <c r="D11" s="14">
        <f>IF(B11="","",IFERROR(VLOOKUP(B11,'材料マスタ'!$B$5:$L$104,7,FALSE)&amp;"",""))</f>
        <v/>
      </c>
      <c r="E11" s="13">
        <f>IF(B11="","",IFERROR(VLOOKUP(B11,'材料マスタ'!$B$5:$L$104,11,FALSE),""))</f>
        <v/>
      </c>
      <c r="F11" s="12">
        <f>IF(OR(B11="",C11=""),"",IFERROR(ROUND(C11*E11,2),""))</f>
        <v/>
      </c>
      <c r="G11" s="14">
        <f>IF(B11="","",IFERROR(IF(VLOOKUP(B11,'材料マスタ'!$B$5:$L$104,11,FALSE)="","材料マスタを確認",IF(C11="","使用量を入力","OK")),"未登録の材料"))</f>
        <v/>
      </c>
    </row>
    <row r="12">
      <c r="A12" s="7" t="n">
        <v>6</v>
      </c>
      <c r="B12" s="8" t="n"/>
      <c r="C12" s="11" t="n"/>
      <c r="D12" s="14">
        <f>IF(B12="","",IFERROR(VLOOKUP(B12,'材料マスタ'!$B$5:$L$104,7,FALSE)&amp;"",""))</f>
        <v/>
      </c>
      <c r="E12" s="13">
        <f>IF(B12="","",IFERROR(VLOOKUP(B12,'材料マスタ'!$B$5:$L$104,11,FALSE),""))</f>
        <v/>
      </c>
      <c r="F12" s="12">
        <f>IF(OR(B12="",C12=""),"",IFERROR(ROUND(C12*E12,2),""))</f>
        <v/>
      </c>
      <c r="G12" s="14">
        <f>IF(B12="","",IFERROR(IF(VLOOKUP(B12,'材料マスタ'!$B$5:$L$104,11,FALSE)="","材料マスタを確認",IF(C12="","使用量を入力","OK")),"未登録の材料"))</f>
        <v/>
      </c>
    </row>
    <row r="13">
      <c r="A13" s="7" t="n">
        <v>7</v>
      </c>
      <c r="B13" s="8" t="n"/>
      <c r="C13" s="11" t="n"/>
      <c r="D13" s="14">
        <f>IF(B13="","",IFERROR(VLOOKUP(B13,'材料マスタ'!$B$5:$L$104,7,FALSE)&amp;"",""))</f>
        <v/>
      </c>
      <c r="E13" s="13">
        <f>IF(B13="","",IFERROR(VLOOKUP(B13,'材料マスタ'!$B$5:$L$104,11,FALSE),""))</f>
        <v/>
      </c>
      <c r="F13" s="12">
        <f>IF(OR(B13="",C13=""),"",IFERROR(ROUND(C13*E13,2),""))</f>
        <v/>
      </c>
      <c r="G13" s="14">
        <f>IF(B13="","",IFERROR(IF(VLOOKUP(B13,'材料マスタ'!$B$5:$L$104,11,FALSE)="","材料マスタを確認",IF(C13="","使用量を入力","OK")),"未登録の材料"))</f>
        <v/>
      </c>
    </row>
    <row r="14">
      <c r="A14" s="7" t="n">
        <v>8</v>
      </c>
      <c r="B14" s="8" t="n"/>
      <c r="C14" s="11" t="n"/>
      <c r="D14" s="14">
        <f>IF(B14="","",IFERROR(VLOOKUP(B14,'材料マスタ'!$B$5:$L$104,7,FALSE)&amp;"",""))</f>
        <v/>
      </c>
      <c r="E14" s="13">
        <f>IF(B14="","",IFERROR(VLOOKUP(B14,'材料マスタ'!$B$5:$L$104,11,FALSE),""))</f>
        <v/>
      </c>
      <c r="F14" s="12">
        <f>IF(OR(B14="",C14=""),"",IFERROR(ROUND(C14*E14,2),""))</f>
        <v/>
      </c>
      <c r="G14" s="14">
        <f>IF(B14="","",IFERROR(IF(VLOOKUP(B14,'材料マスタ'!$B$5:$L$104,11,FALSE)="","材料マスタを確認",IF(C14="","使用量を入力","OK")),"未登録の材料"))</f>
        <v/>
      </c>
    </row>
    <row r="15">
      <c r="A15" s="7" t="n">
        <v>9</v>
      </c>
      <c r="B15" s="8" t="n"/>
      <c r="C15" s="11" t="n"/>
      <c r="D15" s="14">
        <f>IF(B15="","",IFERROR(VLOOKUP(B15,'材料マスタ'!$B$5:$L$104,7,FALSE)&amp;"",""))</f>
        <v/>
      </c>
      <c r="E15" s="13">
        <f>IF(B15="","",IFERROR(VLOOKUP(B15,'材料マスタ'!$B$5:$L$104,11,FALSE),""))</f>
        <v/>
      </c>
      <c r="F15" s="12">
        <f>IF(OR(B15="",C15=""),"",IFERROR(ROUND(C15*E15,2),""))</f>
        <v/>
      </c>
      <c r="G15" s="14">
        <f>IF(B15="","",IFERROR(IF(VLOOKUP(B15,'材料マスタ'!$B$5:$L$104,11,FALSE)="","材料マスタを確認",IF(C15="","使用量を入力","OK")),"未登録の材料"))</f>
        <v/>
      </c>
    </row>
    <row r="16">
      <c r="A16" s="7" t="n">
        <v>10</v>
      </c>
      <c r="B16" s="8" t="n"/>
      <c r="C16" s="11" t="n"/>
      <c r="D16" s="14">
        <f>IF(B16="","",IFERROR(VLOOKUP(B16,'材料マスタ'!$B$5:$L$104,7,FALSE)&amp;"",""))</f>
        <v/>
      </c>
      <c r="E16" s="13">
        <f>IF(B16="","",IFERROR(VLOOKUP(B16,'材料マスタ'!$B$5:$L$104,11,FALSE),""))</f>
        <v/>
      </c>
      <c r="F16" s="12">
        <f>IF(OR(B16="",C16=""),"",IFERROR(ROUND(C16*E16,2),""))</f>
        <v/>
      </c>
      <c r="G16" s="14">
        <f>IF(B16="","",IFERROR(IF(VLOOKUP(B16,'材料マスタ'!$B$5:$L$104,11,FALSE)="","材料マスタを確認",IF(C16="","使用量を入力","OK")),"未登録の材料"))</f>
        <v/>
      </c>
    </row>
    <row r="17">
      <c r="A17" s="7" t="n">
        <v>11</v>
      </c>
      <c r="B17" s="8" t="n"/>
      <c r="C17" s="11" t="n"/>
      <c r="D17" s="14">
        <f>IF(B17="","",IFERROR(VLOOKUP(B17,'材料マスタ'!$B$5:$L$104,7,FALSE)&amp;"",""))</f>
        <v/>
      </c>
      <c r="E17" s="13">
        <f>IF(B17="","",IFERROR(VLOOKUP(B17,'材料マスタ'!$B$5:$L$104,11,FALSE),""))</f>
        <v/>
      </c>
      <c r="F17" s="12">
        <f>IF(OR(B17="",C17=""),"",IFERROR(ROUND(C17*E17,2),""))</f>
        <v/>
      </c>
      <c r="G17" s="14">
        <f>IF(B17="","",IFERROR(IF(VLOOKUP(B17,'材料マスタ'!$B$5:$L$104,11,FALSE)="","材料マスタを確認",IF(C17="","使用量を入力","OK")),"未登録の材料"))</f>
        <v/>
      </c>
    </row>
    <row r="18">
      <c r="A18" s="7" t="n">
        <v>12</v>
      </c>
      <c r="B18" s="8" t="n"/>
      <c r="C18" s="11" t="n"/>
      <c r="D18" s="14">
        <f>IF(B18="","",IFERROR(VLOOKUP(B18,'材料マスタ'!$B$5:$L$104,7,FALSE)&amp;"",""))</f>
        <v/>
      </c>
      <c r="E18" s="13">
        <f>IF(B18="","",IFERROR(VLOOKUP(B18,'材料マスタ'!$B$5:$L$104,11,FALSE),""))</f>
        <v/>
      </c>
      <c r="F18" s="12">
        <f>IF(OR(B18="",C18=""),"",IFERROR(ROUND(C18*E18,2),""))</f>
        <v/>
      </c>
      <c r="G18" s="14">
        <f>IF(B18="","",IFERROR(IF(VLOOKUP(B18,'材料マスタ'!$B$5:$L$104,11,FALSE)="","材料マスタを確認",IF(C18="","使用量を入力","OK")),"未登録の材料"))</f>
        <v/>
      </c>
    </row>
    <row r="19">
      <c r="A19" s="7" t="n">
        <v>13</v>
      </c>
      <c r="B19" s="8" t="n"/>
      <c r="C19" s="11" t="n"/>
      <c r="D19" s="14">
        <f>IF(B19="","",IFERROR(VLOOKUP(B19,'材料マスタ'!$B$5:$L$104,7,FALSE)&amp;"",""))</f>
        <v/>
      </c>
      <c r="E19" s="13">
        <f>IF(B19="","",IFERROR(VLOOKUP(B19,'材料マスタ'!$B$5:$L$104,11,FALSE),""))</f>
        <v/>
      </c>
      <c r="F19" s="12">
        <f>IF(OR(B19="",C19=""),"",IFERROR(ROUND(C19*E19,2),""))</f>
        <v/>
      </c>
      <c r="G19" s="14">
        <f>IF(B19="","",IFERROR(IF(VLOOKUP(B19,'材料マスタ'!$B$5:$L$104,11,FALSE)="","材料マスタを確認",IF(C19="","使用量を入力","OK")),"未登録の材料"))</f>
        <v/>
      </c>
    </row>
    <row r="20">
      <c r="A20" s="7" t="n">
        <v>14</v>
      </c>
      <c r="B20" s="8" t="n"/>
      <c r="C20" s="11" t="n"/>
      <c r="D20" s="14">
        <f>IF(B20="","",IFERROR(VLOOKUP(B20,'材料マスタ'!$B$5:$L$104,7,FALSE)&amp;"",""))</f>
        <v/>
      </c>
      <c r="E20" s="13">
        <f>IF(B20="","",IFERROR(VLOOKUP(B20,'材料マスタ'!$B$5:$L$104,11,FALSE),""))</f>
        <v/>
      </c>
      <c r="F20" s="12">
        <f>IF(OR(B20="",C20=""),"",IFERROR(ROUND(C20*E20,2),""))</f>
        <v/>
      </c>
      <c r="G20" s="14">
        <f>IF(B20="","",IFERROR(IF(VLOOKUP(B20,'材料マスタ'!$B$5:$L$104,11,FALSE)="","材料マスタを確認",IF(C20="","使用量を入力","OK")),"未登録の材料"))</f>
        <v/>
      </c>
    </row>
    <row r="21">
      <c r="A21" s="7" t="n">
        <v>15</v>
      </c>
      <c r="B21" s="8" t="n"/>
      <c r="C21" s="11" t="n"/>
      <c r="D21" s="14">
        <f>IF(B21="","",IFERROR(VLOOKUP(B21,'材料マスタ'!$B$5:$L$104,7,FALSE)&amp;"",""))</f>
        <v/>
      </c>
      <c r="E21" s="13">
        <f>IF(B21="","",IFERROR(VLOOKUP(B21,'材料マスタ'!$B$5:$L$104,11,FALSE),""))</f>
        <v/>
      </c>
      <c r="F21" s="12">
        <f>IF(OR(B21="",C21=""),"",IFERROR(ROUND(C21*E21,2),""))</f>
        <v/>
      </c>
      <c r="G21" s="14">
        <f>IF(B21="","",IFERROR(IF(VLOOKUP(B21,'材料マスタ'!$B$5:$L$104,11,FALSE)="","材料マスタを確認",IF(C21="","使用量を入力","OK")),"未登録の材料"))</f>
        <v/>
      </c>
    </row>
    <row r="22">
      <c r="B22" s="21" t="inlineStr">
        <is>
          <t>合計原価（税抜・円）</t>
        </is>
      </c>
      <c r="C22" s="22">
        <f>SUM(F7:F21)</f>
        <v/>
      </c>
    </row>
    <row r="23">
      <c r="B23" s="23" t="inlineStr">
        <is>
          <t>目標原価率（適用値）</t>
        </is>
      </c>
      <c r="C23" s="24">
        <f>IF(E5="",'設定'!$C$4,IF(E5&gt;1,E5/100,E5))</f>
        <v/>
      </c>
    </row>
    <row r="24">
      <c r="B24" s="23" t="inlineStr">
        <is>
          <t>売価の税率（適用値）</t>
        </is>
      </c>
      <c r="C24" s="25">
        <f>IF(G5="",'設定'!$C$5,IF(G5&gt;=1,G5/100,G5))</f>
        <v/>
      </c>
    </row>
    <row r="25">
      <c r="B25" s="23" t="inlineStr">
        <is>
          <t>税抜売価（円）</t>
        </is>
      </c>
      <c r="C25" s="22">
        <f>IF(C5="","",IFERROR(ROUND(C5/(1+C24),2),""))</f>
        <v/>
      </c>
    </row>
    <row r="26">
      <c r="B26" s="21" t="inlineStr">
        <is>
          <t>原価率</t>
        </is>
      </c>
      <c r="C26" s="26">
        <f>IFERROR(IF(OR(C25="",C25=0),"",ROUND(C22/C25,4)),"")</f>
        <v/>
      </c>
      <c r="D26" s="7" t="inlineStr">
        <is>
          <t>判定［自動］</t>
        </is>
      </c>
      <c r="E26" s="27">
        <f>IF(C26="",IF(C4="","","売価を入力"),IF(C26&gt;C23,"超過","目標内"))</f>
        <v/>
      </c>
    </row>
    <row r="27">
      <c r="B27" s="23" t="inlineStr">
        <is>
          <t>目標との差（＋は目標超過）</t>
        </is>
      </c>
      <c r="C27" s="28">
        <f>IF(C26="","",ROUND(C26-C23,4))</f>
        <v/>
      </c>
    </row>
    <row r="28" ht="30" customHeight="1">
      <c r="B28" s="21" t="inlineStr">
        <is>
          <t>推奨売価（税込・円／目標原価率から逆算、10円単位で切り上げ）</t>
        </is>
      </c>
      <c r="C28" s="29">
        <f>IFERROR(IF(OR(C22=0,C23=0),"",ROUNDUP(ROUND(C22/C23*(1+C24),2)/10,0)*10),"")</f>
        <v/>
      </c>
    </row>
    <row r="29">
      <c r="A29" s="15" t="inlineStr">
        <is>
          <t>メニュー2</t>
        </is>
      </c>
      <c r="B29" s="16" t="inlineStr">
        <is>
          <t>【入力】メニュー名</t>
        </is>
      </c>
      <c r="C29" s="8" t="inlineStr">
        <is>
          <t>親子丼（見本）</t>
        </is>
      </c>
      <c r="D29" s="17" t="n"/>
      <c r="E29" s="17" t="n"/>
      <c r="F29" s="17" t="n"/>
      <c r="G29" s="18" t="n"/>
    </row>
    <row r="30">
      <c r="B30" s="7" t="inlineStr">
        <is>
          <t>【入力】販売価格（税込・円）</t>
        </is>
      </c>
      <c r="C30" s="9" t="n">
        <v>780</v>
      </c>
      <c r="D30" s="19" t="inlineStr">
        <is>
          <t>【入力】目標原価率（空欄=設定値）</t>
        </is>
      </c>
      <c r="E30" s="10" t="n"/>
      <c r="F30" s="19" t="inlineStr">
        <is>
          <t>【入力】売価の税率（空欄=設定値）</t>
        </is>
      </c>
      <c r="G30" s="10" t="n"/>
    </row>
    <row r="31" ht="32" customHeight="1">
      <c r="A31" s="20" t="inlineStr">
        <is>
          <t>No</t>
        </is>
      </c>
      <c r="B31" s="20" t="inlineStr">
        <is>
          <t>【入力】材料名（リストから選ぶ）</t>
        </is>
      </c>
      <c r="C31" s="20" t="inlineStr">
        <is>
          <t>【入力】使用量</t>
        </is>
      </c>
      <c r="D31" s="20" t="inlineStr">
        <is>
          <t>単位［自動］</t>
        </is>
      </c>
      <c r="E31" s="20" t="inlineStr">
        <is>
          <t>単価（税抜・円/単位）［自動］</t>
        </is>
      </c>
      <c r="F31" s="20" t="inlineStr">
        <is>
          <t>原価（円）［自動］</t>
        </is>
      </c>
      <c r="G31" s="20" t="inlineStr">
        <is>
          <t>チェック［自動］</t>
        </is>
      </c>
    </row>
    <row r="32">
      <c r="A32" s="7" t="n">
        <v>1</v>
      </c>
      <c r="B32" s="8" t="inlineStr">
        <is>
          <t>鶏もも肉</t>
        </is>
      </c>
      <c r="C32" s="11" t="n">
        <v>100</v>
      </c>
      <c r="D32" s="14">
        <f>IF(B32="","",IFERROR(VLOOKUP(B32,'材料マスタ'!$B$5:$L$104,7,FALSE)&amp;"",""))</f>
        <v/>
      </c>
      <c r="E32" s="13">
        <f>IF(B32="","",IFERROR(VLOOKUP(B32,'材料マスタ'!$B$5:$L$104,11,FALSE),""))</f>
        <v/>
      </c>
      <c r="F32" s="12">
        <f>IF(OR(B32="",C32=""),"",IFERROR(ROUND(C32*E32,2),""))</f>
        <v/>
      </c>
      <c r="G32" s="14">
        <f>IF(B32="","",IFERROR(IF(VLOOKUP(B32,'材料マスタ'!$B$5:$L$104,11,FALSE)="","材料マスタを確認",IF(C32="","使用量を入力","OK")),"未登録の材料"))</f>
        <v/>
      </c>
    </row>
    <row r="33">
      <c r="A33" s="7" t="n">
        <v>2</v>
      </c>
      <c r="B33" s="8" t="inlineStr">
        <is>
          <t>卵</t>
        </is>
      </c>
      <c r="C33" s="11" t="n">
        <v>2</v>
      </c>
      <c r="D33" s="14">
        <f>IF(B33="","",IFERROR(VLOOKUP(B33,'材料マスタ'!$B$5:$L$104,7,FALSE)&amp;"",""))</f>
        <v/>
      </c>
      <c r="E33" s="13">
        <f>IF(B33="","",IFERROR(VLOOKUP(B33,'材料マスタ'!$B$5:$L$104,11,FALSE),""))</f>
        <v/>
      </c>
      <c r="F33" s="12">
        <f>IF(OR(B33="",C33=""),"",IFERROR(ROUND(C33*E33,2),""))</f>
        <v/>
      </c>
      <c r="G33" s="14">
        <f>IF(B33="","",IFERROR(IF(VLOOKUP(B33,'材料マスタ'!$B$5:$L$104,11,FALSE)="","材料マスタを確認",IF(C33="","使用量を入力","OK")),"未登録の材料"))</f>
        <v/>
      </c>
    </row>
    <row r="34">
      <c r="A34" s="7" t="n">
        <v>3</v>
      </c>
      <c r="B34" s="8" t="inlineStr">
        <is>
          <t>玉ねぎ</t>
        </is>
      </c>
      <c r="C34" s="11" t="n">
        <v>40</v>
      </c>
      <c r="D34" s="14">
        <f>IF(B34="","",IFERROR(VLOOKUP(B34,'材料マスタ'!$B$5:$L$104,7,FALSE)&amp;"",""))</f>
        <v/>
      </c>
      <c r="E34" s="13">
        <f>IF(B34="","",IFERROR(VLOOKUP(B34,'材料マスタ'!$B$5:$L$104,11,FALSE),""))</f>
        <v/>
      </c>
      <c r="F34" s="12">
        <f>IF(OR(B34="",C34=""),"",IFERROR(ROUND(C34*E34,2),""))</f>
        <v/>
      </c>
      <c r="G34" s="14">
        <f>IF(B34="","",IFERROR(IF(VLOOKUP(B34,'材料マスタ'!$B$5:$L$104,11,FALSE)="","材料マスタを確認",IF(C34="","使用量を入力","OK")),"未登録の材料"))</f>
        <v/>
      </c>
    </row>
    <row r="35">
      <c r="A35" s="7" t="n">
        <v>4</v>
      </c>
      <c r="B35" s="8" t="inlineStr">
        <is>
          <t>しょうゆ</t>
        </is>
      </c>
      <c r="C35" s="11" t="n">
        <v>15</v>
      </c>
      <c r="D35" s="14">
        <f>IF(B35="","",IFERROR(VLOOKUP(B35,'材料マスタ'!$B$5:$L$104,7,FALSE)&amp;"",""))</f>
        <v/>
      </c>
      <c r="E35" s="13">
        <f>IF(B35="","",IFERROR(VLOOKUP(B35,'材料マスタ'!$B$5:$L$104,11,FALSE),""))</f>
        <v/>
      </c>
      <c r="F35" s="12">
        <f>IF(OR(B35="",C35=""),"",IFERROR(ROUND(C35*E35,2),""))</f>
        <v/>
      </c>
      <c r="G35" s="14">
        <f>IF(B35="","",IFERROR(IF(VLOOKUP(B35,'材料マスタ'!$B$5:$L$104,11,FALSE)="","材料マスタを確認",IF(C35="","使用量を入力","OK")),"未登録の材料"))</f>
        <v/>
      </c>
    </row>
    <row r="36">
      <c r="A36" s="7" t="n">
        <v>5</v>
      </c>
      <c r="B36" s="8" t="inlineStr">
        <is>
          <t>米</t>
        </is>
      </c>
      <c r="C36" s="11" t="n">
        <v>150</v>
      </c>
      <c r="D36" s="14">
        <f>IF(B36="","",IFERROR(VLOOKUP(B36,'材料マスタ'!$B$5:$L$104,7,FALSE)&amp;"",""))</f>
        <v/>
      </c>
      <c r="E36" s="13">
        <f>IF(B36="","",IFERROR(VLOOKUP(B36,'材料マスタ'!$B$5:$L$104,11,FALSE),""))</f>
        <v/>
      </c>
      <c r="F36" s="12">
        <f>IF(OR(B36="",C36=""),"",IFERROR(ROUND(C36*E36,2),""))</f>
        <v/>
      </c>
      <c r="G36" s="14">
        <f>IF(B36="","",IFERROR(IF(VLOOKUP(B36,'材料マスタ'!$B$5:$L$104,11,FALSE)="","材料マスタを確認",IF(C36="","使用量を入力","OK")),"未登録の材料"))</f>
        <v/>
      </c>
    </row>
    <row r="37">
      <c r="A37" s="7" t="n">
        <v>6</v>
      </c>
      <c r="B37" s="8" t="n"/>
      <c r="C37" s="11" t="n"/>
      <c r="D37" s="14">
        <f>IF(B37="","",IFERROR(VLOOKUP(B37,'材料マスタ'!$B$5:$L$104,7,FALSE)&amp;"",""))</f>
        <v/>
      </c>
      <c r="E37" s="13">
        <f>IF(B37="","",IFERROR(VLOOKUP(B37,'材料マスタ'!$B$5:$L$104,11,FALSE),""))</f>
        <v/>
      </c>
      <c r="F37" s="12">
        <f>IF(OR(B37="",C37=""),"",IFERROR(ROUND(C37*E37,2),""))</f>
        <v/>
      </c>
      <c r="G37" s="14">
        <f>IF(B37="","",IFERROR(IF(VLOOKUP(B37,'材料マスタ'!$B$5:$L$104,11,FALSE)="","材料マスタを確認",IF(C37="","使用量を入力","OK")),"未登録の材料"))</f>
        <v/>
      </c>
    </row>
    <row r="38">
      <c r="A38" s="7" t="n">
        <v>7</v>
      </c>
      <c r="B38" s="8" t="n"/>
      <c r="C38" s="11" t="n"/>
      <c r="D38" s="14">
        <f>IF(B38="","",IFERROR(VLOOKUP(B38,'材料マスタ'!$B$5:$L$104,7,FALSE)&amp;"",""))</f>
        <v/>
      </c>
      <c r="E38" s="13">
        <f>IF(B38="","",IFERROR(VLOOKUP(B38,'材料マスタ'!$B$5:$L$104,11,FALSE),""))</f>
        <v/>
      </c>
      <c r="F38" s="12">
        <f>IF(OR(B38="",C38=""),"",IFERROR(ROUND(C38*E38,2),""))</f>
        <v/>
      </c>
      <c r="G38" s="14">
        <f>IF(B38="","",IFERROR(IF(VLOOKUP(B38,'材料マスタ'!$B$5:$L$104,11,FALSE)="","材料マスタを確認",IF(C38="","使用量を入力","OK")),"未登録の材料"))</f>
        <v/>
      </c>
    </row>
    <row r="39">
      <c r="A39" s="7" t="n">
        <v>8</v>
      </c>
      <c r="B39" s="8" t="n"/>
      <c r="C39" s="11" t="n"/>
      <c r="D39" s="14">
        <f>IF(B39="","",IFERROR(VLOOKUP(B39,'材料マスタ'!$B$5:$L$104,7,FALSE)&amp;"",""))</f>
        <v/>
      </c>
      <c r="E39" s="13">
        <f>IF(B39="","",IFERROR(VLOOKUP(B39,'材料マスタ'!$B$5:$L$104,11,FALSE),""))</f>
        <v/>
      </c>
      <c r="F39" s="12">
        <f>IF(OR(B39="",C39=""),"",IFERROR(ROUND(C39*E39,2),""))</f>
        <v/>
      </c>
      <c r="G39" s="14">
        <f>IF(B39="","",IFERROR(IF(VLOOKUP(B39,'材料マスタ'!$B$5:$L$104,11,FALSE)="","材料マスタを確認",IF(C39="","使用量を入力","OK")),"未登録の材料"))</f>
        <v/>
      </c>
    </row>
    <row r="40">
      <c r="A40" s="7" t="n">
        <v>9</v>
      </c>
      <c r="B40" s="8" t="n"/>
      <c r="C40" s="11" t="n"/>
      <c r="D40" s="14">
        <f>IF(B40="","",IFERROR(VLOOKUP(B40,'材料マスタ'!$B$5:$L$104,7,FALSE)&amp;"",""))</f>
        <v/>
      </c>
      <c r="E40" s="13">
        <f>IF(B40="","",IFERROR(VLOOKUP(B40,'材料マスタ'!$B$5:$L$104,11,FALSE),""))</f>
        <v/>
      </c>
      <c r="F40" s="12">
        <f>IF(OR(B40="",C40=""),"",IFERROR(ROUND(C40*E40,2),""))</f>
        <v/>
      </c>
      <c r="G40" s="14">
        <f>IF(B40="","",IFERROR(IF(VLOOKUP(B40,'材料マスタ'!$B$5:$L$104,11,FALSE)="","材料マスタを確認",IF(C40="","使用量を入力","OK")),"未登録の材料"))</f>
        <v/>
      </c>
    </row>
    <row r="41">
      <c r="A41" s="7" t="n">
        <v>10</v>
      </c>
      <c r="B41" s="8" t="n"/>
      <c r="C41" s="11" t="n"/>
      <c r="D41" s="14">
        <f>IF(B41="","",IFERROR(VLOOKUP(B41,'材料マスタ'!$B$5:$L$104,7,FALSE)&amp;"",""))</f>
        <v/>
      </c>
      <c r="E41" s="13">
        <f>IF(B41="","",IFERROR(VLOOKUP(B41,'材料マスタ'!$B$5:$L$104,11,FALSE),""))</f>
        <v/>
      </c>
      <c r="F41" s="12">
        <f>IF(OR(B41="",C41=""),"",IFERROR(ROUND(C41*E41,2),""))</f>
        <v/>
      </c>
      <c r="G41" s="14">
        <f>IF(B41="","",IFERROR(IF(VLOOKUP(B41,'材料マスタ'!$B$5:$L$104,11,FALSE)="","材料マスタを確認",IF(C41="","使用量を入力","OK")),"未登録の材料"))</f>
        <v/>
      </c>
    </row>
    <row r="42">
      <c r="A42" s="7" t="n">
        <v>11</v>
      </c>
      <c r="B42" s="8" t="n"/>
      <c r="C42" s="11" t="n"/>
      <c r="D42" s="14">
        <f>IF(B42="","",IFERROR(VLOOKUP(B42,'材料マスタ'!$B$5:$L$104,7,FALSE)&amp;"",""))</f>
        <v/>
      </c>
      <c r="E42" s="13">
        <f>IF(B42="","",IFERROR(VLOOKUP(B42,'材料マスタ'!$B$5:$L$104,11,FALSE),""))</f>
        <v/>
      </c>
      <c r="F42" s="12">
        <f>IF(OR(B42="",C42=""),"",IFERROR(ROUND(C42*E42,2),""))</f>
        <v/>
      </c>
      <c r="G42" s="14">
        <f>IF(B42="","",IFERROR(IF(VLOOKUP(B42,'材料マスタ'!$B$5:$L$104,11,FALSE)="","材料マスタを確認",IF(C42="","使用量を入力","OK")),"未登録の材料"))</f>
        <v/>
      </c>
    </row>
    <row r="43">
      <c r="A43" s="7" t="n">
        <v>12</v>
      </c>
      <c r="B43" s="8" t="n"/>
      <c r="C43" s="11" t="n"/>
      <c r="D43" s="14">
        <f>IF(B43="","",IFERROR(VLOOKUP(B43,'材料マスタ'!$B$5:$L$104,7,FALSE)&amp;"",""))</f>
        <v/>
      </c>
      <c r="E43" s="13">
        <f>IF(B43="","",IFERROR(VLOOKUP(B43,'材料マスタ'!$B$5:$L$104,11,FALSE),""))</f>
        <v/>
      </c>
      <c r="F43" s="12">
        <f>IF(OR(B43="",C43=""),"",IFERROR(ROUND(C43*E43,2),""))</f>
        <v/>
      </c>
      <c r="G43" s="14">
        <f>IF(B43="","",IFERROR(IF(VLOOKUP(B43,'材料マスタ'!$B$5:$L$104,11,FALSE)="","材料マスタを確認",IF(C43="","使用量を入力","OK")),"未登録の材料"))</f>
        <v/>
      </c>
    </row>
    <row r="44">
      <c r="A44" s="7" t="n">
        <v>13</v>
      </c>
      <c r="B44" s="8" t="n"/>
      <c r="C44" s="11" t="n"/>
      <c r="D44" s="14">
        <f>IF(B44="","",IFERROR(VLOOKUP(B44,'材料マスタ'!$B$5:$L$104,7,FALSE)&amp;"",""))</f>
        <v/>
      </c>
      <c r="E44" s="13">
        <f>IF(B44="","",IFERROR(VLOOKUP(B44,'材料マスタ'!$B$5:$L$104,11,FALSE),""))</f>
        <v/>
      </c>
      <c r="F44" s="12">
        <f>IF(OR(B44="",C44=""),"",IFERROR(ROUND(C44*E44,2),""))</f>
        <v/>
      </c>
      <c r="G44" s="14">
        <f>IF(B44="","",IFERROR(IF(VLOOKUP(B44,'材料マスタ'!$B$5:$L$104,11,FALSE)="","材料マスタを確認",IF(C44="","使用量を入力","OK")),"未登録の材料"))</f>
        <v/>
      </c>
    </row>
    <row r="45">
      <c r="A45" s="7" t="n">
        <v>14</v>
      </c>
      <c r="B45" s="8" t="n"/>
      <c r="C45" s="11" t="n"/>
      <c r="D45" s="14">
        <f>IF(B45="","",IFERROR(VLOOKUP(B45,'材料マスタ'!$B$5:$L$104,7,FALSE)&amp;"",""))</f>
        <v/>
      </c>
      <c r="E45" s="13">
        <f>IF(B45="","",IFERROR(VLOOKUP(B45,'材料マスタ'!$B$5:$L$104,11,FALSE),""))</f>
        <v/>
      </c>
      <c r="F45" s="12">
        <f>IF(OR(B45="",C45=""),"",IFERROR(ROUND(C45*E45,2),""))</f>
        <v/>
      </c>
      <c r="G45" s="14">
        <f>IF(B45="","",IFERROR(IF(VLOOKUP(B45,'材料マスタ'!$B$5:$L$104,11,FALSE)="","材料マスタを確認",IF(C45="","使用量を入力","OK")),"未登録の材料"))</f>
        <v/>
      </c>
    </row>
    <row r="46">
      <c r="A46" s="7" t="n">
        <v>15</v>
      </c>
      <c r="B46" s="8" t="n"/>
      <c r="C46" s="11" t="n"/>
      <c r="D46" s="14">
        <f>IF(B46="","",IFERROR(VLOOKUP(B46,'材料マスタ'!$B$5:$L$104,7,FALSE)&amp;"",""))</f>
        <v/>
      </c>
      <c r="E46" s="13">
        <f>IF(B46="","",IFERROR(VLOOKUP(B46,'材料マスタ'!$B$5:$L$104,11,FALSE),""))</f>
        <v/>
      </c>
      <c r="F46" s="12">
        <f>IF(OR(B46="",C46=""),"",IFERROR(ROUND(C46*E46,2),""))</f>
        <v/>
      </c>
      <c r="G46" s="14">
        <f>IF(B46="","",IFERROR(IF(VLOOKUP(B46,'材料マスタ'!$B$5:$L$104,11,FALSE)="","材料マスタを確認",IF(C46="","使用量を入力","OK")),"未登録の材料"))</f>
        <v/>
      </c>
    </row>
    <row r="47">
      <c r="B47" s="21" t="inlineStr">
        <is>
          <t>合計原価（税抜・円）</t>
        </is>
      </c>
      <c r="C47" s="22">
        <f>SUM(F32:F46)</f>
        <v/>
      </c>
    </row>
    <row r="48">
      <c r="B48" s="23" t="inlineStr">
        <is>
          <t>目標原価率（適用値）</t>
        </is>
      </c>
      <c r="C48" s="24">
        <f>IF(E30="",'設定'!$C$4,IF(E30&gt;1,E30/100,E30))</f>
        <v/>
      </c>
    </row>
    <row r="49">
      <c r="B49" s="23" t="inlineStr">
        <is>
          <t>売価の税率（適用値）</t>
        </is>
      </c>
      <c r="C49" s="25">
        <f>IF(G30="",'設定'!$C$5,IF(G30&gt;=1,G30/100,G30))</f>
        <v/>
      </c>
    </row>
    <row r="50">
      <c r="B50" s="23" t="inlineStr">
        <is>
          <t>税抜売価（円）</t>
        </is>
      </c>
      <c r="C50" s="22">
        <f>IF(C30="","",IFERROR(ROUND(C30/(1+C49),2),""))</f>
        <v/>
      </c>
    </row>
    <row r="51">
      <c r="B51" s="21" t="inlineStr">
        <is>
          <t>原価率</t>
        </is>
      </c>
      <c r="C51" s="26">
        <f>IFERROR(IF(OR(C50="",C50=0),"",ROUND(C47/C50,4)),"")</f>
        <v/>
      </c>
      <c r="D51" s="7" t="inlineStr">
        <is>
          <t>判定［自動］</t>
        </is>
      </c>
      <c r="E51" s="27">
        <f>IF(C51="",IF(C29="","","売価を入力"),IF(C51&gt;C48,"超過","目標内"))</f>
        <v/>
      </c>
    </row>
    <row r="52">
      <c r="B52" s="23" t="inlineStr">
        <is>
          <t>目標との差（＋は目標超過）</t>
        </is>
      </c>
      <c r="C52" s="28">
        <f>IF(C51="","",ROUND(C51-C48,4))</f>
        <v/>
      </c>
    </row>
    <row r="53" ht="30" customHeight="1">
      <c r="B53" s="21" t="inlineStr">
        <is>
          <t>推奨売価（税込・円／目標原価率から逆算、10円単位で切り上げ）</t>
        </is>
      </c>
      <c r="C53" s="29">
        <f>IFERROR(IF(OR(C47=0,C48=0),"",ROUNDUP(ROUND(C47/C48*(1+C49),2)/10,0)*10),"")</f>
        <v/>
      </c>
    </row>
    <row r="54">
      <c r="A54" s="15" t="inlineStr">
        <is>
          <t>メニュー3</t>
        </is>
      </c>
      <c r="B54" s="16" t="inlineStr">
        <is>
          <t>【入力】メニュー名</t>
        </is>
      </c>
      <c r="C54" s="8" t="inlineStr">
        <is>
          <t>ポテトサラダ 持ち帰り（見本）</t>
        </is>
      </c>
      <c r="D54" s="17" t="n"/>
      <c r="E54" s="17" t="n"/>
      <c r="F54" s="17" t="n"/>
      <c r="G54" s="18" t="n"/>
    </row>
    <row r="55">
      <c r="B55" s="7" t="inlineStr">
        <is>
          <t>【入力】販売価格（税込・円）</t>
        </is>
      </c>
      <c r="C55" s="9" t="n">
        <v>380</v>
      </c>
      <c r="D55" s="19" t="inlineStr">
        <is>
          <t>【入力】目標原価率（空欄=設定値）</t>
        </is>
      </c>
      <c r="E55" s="10" t="n">
        <v>0.25</v>
      </c>
      <c r="F55" s="19" t="inlineStr">
        <is>
          <t>【入力】売価の税率（空欄=設定値）</t>
        </is>
      </c>
      <c r="G55" s="10" t="n">
        <v>0.08</v>
      </c>
    </row>
    <row r="56" ht="32" customHeight="1">
      <c r="A56" s="20" t="inlineStr">
        <is>
          <t>No</t>
        </is>
      </c>
      <c r="B56" s="20" t="inlineStr">
        <is>
          <t>【入力】材料名（リストから選ぶ）</t>
        </is>
      </c>
      <c r="C56" s="20" t="inlineStr">
        <is>
          <t>【入力】使用量</t>
        </is>
      </c>
      <c r="D56" s="20" t="inlineStr">
        <is>
          <t>単位［自動］</t>
        </is>
      </c>
      <c r="E56" s="20" t="inlineStr">
        <is>
          <t>単価（税抜・円/単位）［自動］</t>
        </is>
      </c>
      <c r="F56" s="20" t="inlineStr">
        <is>
          <t>原価（円）［自動］</t>
        </is>
      </c>
      <c r="G56" s="20" t="inlineStr">
        <is>
          <t>チェック［自動］</t>
        </is>
      </c>
    </row>
    <row r="57">
      <c r="A57" s="7" t="n">
        <v>1</v>
      </c>
      <c r="B57" s="8" t="inlineStr">
        <is>
          <t>じゃがいも</t>
        </is>
      </c>
      <c r="C57" s="11" t="n">
        <v>120</v>
      </c>
      <c r="D57" s="14">
        <f>IF(B57="","",IFERROR(VLOOKUP(B57,'材料マスタ'!$B$5:$L$104,7,FALSE)&amp;"",""))</f>
        <v/>
      </c>
      <c r="E57" s="13">
        <f>IF(B57="","",IFERROR(VLOOKUP(B57,'材料マスタ'!$B$5:$L$104,11,FALSE),""))</f>
        <v/>
      </c>
      <c r="F57" s="12">
        <f>IF(OR(B57="",C57=""),"",IFERROR(ROUND(C57*E57,2),""))</f>
        <v/>
      </c>
      <c r="G57" s="14">
        <f>IF(B57="","",IFERROR(IF(VLOOKUP(B57,'材料マスタ'!$B$5:$L$104,11,FALSE)="","材料マスタを確認",IF(C57="","使用量を入力","OK")),"未登録の材料"))</f>
        <v/>
      </c>
    </row>
    <row r="58">
      <c r="A58" s="7" t="n">
        <v>2</v>
      </c>
      <c r="B58" s="8" t="inlineStr">
        <is>
          <t>玉ねぎ</t>
        </is>
      </c>
      <c r="C58" s="11" t="n">
        <v>15</v>
      </c>
      <c r="D58" s="14">
        <f>IF(B58="","",IFERROR(VLOOKUP(B58,'材料マスタ'!$B$5:$L$104,7,FALSE)&amp;"",""))</f>
        <v/>
      </c>
      <c r="E58" s="13">
        <f>IF(B58="","",IFERROR(VLOOKUP(B58,'材料マスタ'!$B$5:$L$104,11,FALSE),""))</f>
        <v/>
      </c>
      <c r="F58" s="12">
        <f>IF(OR(B58="",C58=""),"",IFERROR(ROUND(C58*E58,2),""))</f>
        <v/>
      </c>
      <c r="G58" s="14">
        <f>IF(B58="","",IFERROR(IF(VLOOKUP(B58,'材料マスタ'!$B$5:$L$104,11,FALSE)="","材料マスタを確認",IF(C58="","使用量を入力","OK")),"未登録の材料"))</f>
        <v/>
      </c>
    </row>
    <row r="59">
      <c r="A59" s="7" t="n">
        <v>3</v>
      </c>
      <c r="B59" s="8" t="inlineStr">
        <is>
          <t>マヨネーズ</t>
        </is>
      </c>
      <c r="C59" s="11" t="n">
        <v>25</v>
      </c>
      <c r="D59" s="14">
        <f>IF(B59="","",IFERROR(VLOOKUP(B59,'材料マスタ'!$B$5:$L$104,7,FALSE)&amp;"",""))</f>
        <v/>
      </c>
      <c r="E59" s="13">
        <f>IF(B59="","",IFERROR(VLOOKUP(B59,'材料マスタ'!$B$5:$L$104,11,FALSE),""))</f>
        <v/>
      </c>
      <c r="F59" s="12">
        <f>IF(OR(B59="",C59=""),"",IFERROR(ROUND(C59*E59,2),""))</f>
        <v/>
      </c>
      <c r="G59" s="14">
        <f>IF(B59="","",IFERROR(IF(VLOOKUP(B59,'材料マスタ'!$B$5:$L$104,11,FALSE)="","材料マスタを確認",IF(C59="","使用量を入力","OK")),"未登録の材料"))</f>
        <v/>
      </c>
    </row>
    <row r="60">
      <c r="A60" s="7" t="n">
        <v>4</v>
      </c>
      <c r="B60" s="8" t="inlineStr">
        <is>
          <t>持ち帰り容器</t>
        </is>
      </c>
      <c r="C60" s="11" t="n">
        <v>1</v>
      </c>
      <c r="D60" s="14">
        <f>IF(B60="","",IFERROR(VLOOKUP(B60,'材料マスタ'!$B$5:$L$104,7,FALSE)&amp;"",""))</f>
        <v/>
      </c>
      <c r="E60" s="13">
        <f>IF(B60="","",IFERROR(VLOOKUP(B60,'材料マスタ'!$B$5:$L$104,11,FALSE),""))</f>
        <v/>
      </c>
      <c r="F60" s="12">
        <f>IF(OR(B60="",C60=""),"",IFERROR(ROUND(C60*E60,2),""))</f>
        <v/>
      </c>
      <c r="G60" s="14">
        <f>IF(B60="","",IFERROR(IF(VLOOKUP(B60,'材料マスタ'!$B$5:$L$104,11,FALSE)="","材料マスタを確認",IF(C60="","使用量を入力","OK")),"未登録の材料"))</f>
        <v/>
      </c>
    </row>
    <row r="61">
      <c r="A61" s="7" t="n">
        <v>5</v>
      </c>
      <c r="B61" s="8" t="n"/>
      <c r="C61" s="11" t="n"/>
      <c r="D61" s="14">
        <f>IF(B61="","",IFERROR(VLOOKUP(B61,'材料マスタ'!$B$5:$L$104,7,FALSE)&amp;"",""))</f>
        <v/>
      </c>
      <c r="E61" s="13">
        <f>IF(B61="","",IFERROR(VLOOKUP(B61,'材料マスタ'!$B$5:$L$104,11,FALSE),""))</f>
        <v/>
      </c>
      <c r="F61" s="12">
        <f>IF(OR(B61="",C61=""),"",IFERROR(ROUND(C61*E61,2),""))</f>
        <v/>
      </c>
      <c r="G61" s="14">
        <f>IF(B61="","",IFERROR(IF(VLOOKUP(B61,'材料マスタ'!$B$5:$L$104,11,FALSE)="","材料マスタを確認",IF(C61="","使用量を入力","OK")),"未登録の材料"))</f>
        <v/>
      </c>
    </row>
    <row r="62">
      <c r="A62" s="7" t="n">
        <v>6</v>
      </c>
      <c r="B62" s="8" t="n"/>
      <c r="C62" s="11" t="n"/>
      <c r="D62" s="14">
        <f>IF(B62="","",IFERROR(VLOOKUP(B62,'材料マスタ'!$B$5:$L$104,7,FALSE)&amp;"",""))</f>
        <v/>
      </c>
      <c r="E62" s="13">
        <f>IF(B62="","",IFERROR(VLOOKUP(B62,'材料マスタ'!$B$5:$L$104,11,FALSE),""))</f>
        <v/>
      </c>
      <c r="F62" s="12">
        <f>IF(OR(B62="",C62=""),"",IFERROR(ROUND(C62*E62,2),""))</f>
        <v/>
      </c>
      <c r="G62" s="14">
        <f>IF(B62="","",IFERROR(IF(VLOOKUP(B62,'材料マスタ'!$B$5:$L$104,11,FALSE)="","材料マスタを確認",IF(C62="","使用量を入力","OK")),"未登録の材料"))</f>
        <v/>
      </c>
    </row>
    <row r="63">
      <c r="A63" s="7" t="n">
        <v>7</v>
      </c>
      <c r="B63" s="8" t="n"/>
      <c r="C63" s="11" t="n"/>
      <c r="D63" s="14">
        <f>IF(B63="","",IFERROR(VLOOKUP(B63,'材料マスタ'!$B$5:$L$104,7,FALSE)&amp;"",""))</f>
        <v/>
      </c>
      <c r="E63" s="13">
        <f>IF(B63="","",IFERROR(VLOOKUP(B63,'材料マスタ'!$B$5:$L$104,11,FALSE),""))</f>
        <v/>
      </c>
      <c r="F63" s="12">
        <f>IF(OR(B63="",C63=""),"",IFERROR(ROUND(C63*E63,2),""))</f>
        <v/>
      </c>
      <c r="G63" s="14">
        <f>IF(B63="","",IFERROR(IF(VLOOKUP(B63,'材料マスタ'!$B$5:$L$104,11,FALSE)="","材料マスタを確認",IF(C63="","使用量を入力","OK")),"未登録の材料"))</f>
        <v/>
      </c>
    </row>
    <row r="64">
      <c r="A64" s="7" t="n">
        <v>8</v>
      </c>
      <c r="B64" s="8" t="n"/>
      <c r="C64" s="11" t="n"/>
      <c r="D64" s="14">
        <f>IF(B64="","",IFERROR(VLOOKUP(B64,'材料マスタ'!$B$5:$L$104,7,FALSE)&amp;"",""))</f>
        <v/>
      </c>
      <c r="E64" s="13">
        <f>IF(B64="","",IFERROR(VLOOKUP(B64,'材料マスタ'!$B$5:$L$104,11,FALSE),""))</f>
        <v/>
      </c>
      <c r="F64" s="12">
        <f>IF(OR(B64="",C64=""),"",IFERROR(ROUND(C64*E64,2),""))</f>
        <v/>
      </c>
      <c r="G64" s="14">
        <f>IF(B64="","",IFERROR(IF(VLOOKUP(B64,'材料マスタ'!$B$5:$L$104,11,FALSE)="","材料マスタを確認",IF(C64="","使用量を入力","OK")),"未登録の材料"))</f>
        <v/>
      </c>
    </row>
    <row r="65">
      <c r="A65" s="7" t="n">
        <v>9</v>
      </c>
      <c r="B65" s="8" t="n"/>
      <c r="C65" s="11" t="n"/>
      <c r="D65" s="14">
        <f>IF(B65="","",IFERROR(VLOOKUP(B65,'材料マスタ'!$B$5:$L$104,7,FALSE)&amp;"",""))</f>
        <v/>
      </c>
      <c r="E65" s="13">
        <f>IF(B65="","",IFERROR(VLOOKUP(B65,'材料マスタ'!$B$5:$L$104,11,FALSE),""))</f>
        <v/>
      </c>
      <c r="F65" s="12">
        <f>IF(OR(B65="",C65=""),"",IFERROR(ROUND(C65*E65,2),""))</f>
        <v/>
      </c>
      <c r="G65" s="14">
        <f>IF(B65="","",IFERROR(IF(VLOOKUP(B65,'材料マスタ'!$B$5:$L$104,11,FALSE)="","材料マスタを確認",IF(C65="","使用量を入力","OK")),"未登録の材料"))</f>
        <v/>
      </c>
    </row>
    <row r="66">
      <c r="A66" s="7" t="n">
        <v>10</v>
      </c>
      <c r="B66" s="8" t="n"/>
      <c r="C66" s="11" t="n"/>
      <c r="D66" s="14">
        <f>IF(B66="","",IFERROR(VLOOKUP(B66,'材料マスタ'!$B$5:$L$104,7,FALSE)&amp;"",""))</f>
        <v/>
      </c>
      <c r="E66" s="13">
        <f>IF(B66="","",IFERROR(VLOOKUP(B66,'材料マスタ'!$B$5:$L$104,11,FALSE),""))</f>
        <v/>
      </c>
      <c r="F66" s="12">
        <f>IF(OR(B66="",C66=""),"",IFERROR(ROUND(C66*E66,2),""))</f>
        <v/>
      </c>
      <c r="G66" s="14">
        <f>IF(B66="","",IFERROR(IF(VLOOKUP(B66,'材料マスタ'!$B$5:$L$104,11,FALSE)="","材料マスタを確認",IF(C66="","使用量を入力","OK")),"未登録の材料"))</f>
        <v/>
      </c>
    </row>
    <row r="67">
      <c r="A67" s="7" t="n">
        <v>11</v>
      </c>
      <c r="B67" s="8" t="n"/>
      <c r="C67" s="11" t="n"/>
      <c r="D67" s="14">
        <f>IF(B67="","",IFERROR(VLOOKUP(B67,'材料マスタ'!$B$5:$L$104,7,FALSE)&amp;"",""))</f>
        <v/>
      </c>
      <c r="E67" s="13">
        <f>IF(B67="","",IFERROR(VLOOKUP(B67,'材料マスタ'!$B$5:$L$104,11,FALSE),""))</f>
        <v/>
      </c>
      <c r="F67" s="12">
        <f>IF(OR(B67="",C67=""),"",IFERROR(ROUND(C67*E67,2),""))</f>
        <v/>
      </c>
      <c r="G67" s="14">
        <f>IF(B67="","",IFERROR(IF(VLOOKUP(B67,'材料マスタ'!$B$5:$L$104,11,FALSE)="","材料マスタを確認",IF(C67="","使用量を入力","OK")),"未登録の材料"))</f>
        <v/>
      </c>
    </row>
    <row r="68">
      <c r="A68" s="7" t="n">
        <v>12</v>
      </c>
      <c r="B68" s="8" t="n"/>
      <c r="C68" s="11" t="n"/>
      <c r="D68" s="14">
        <f>IF(B68="","",IFERROR(VLOOKUP(B68,'材料マスタ'!$B$5:$L$104,7,FALSE)&amp;"",""))</f>
        <v/>
      </c>
      <c r="E68" s="13">
        <f>IF(B68="","",IFERROR(VLOOKUP(B68,'材料マスタ'!$B$5:$L$104,11,FALSE),""))</f>
        <v/>
      </c>
      <c r="F68" s="12">
        <f>IF(OR(B68="",C68=""),"",IFERROR(ROUND(C68*E68,2),""))</f>
        <v/>
      </c>
      <c r="G68" s="14">
        <f>IF(B68="","",IFERROR(IF(VLOOKUP(B68,'材料マスタ'!$B$5:$L$104,11,FALSE)="","材料マスタを確認",IF(C68="","使用量を入力","OK")),"未登録の材料"))</f>
        <v/>
      </c>
    </row>
    <row r="69">
      <c r="A69" s="7" t="n">
        <v>13</v>
      </c>
      <c r="B69" s="8" t="n"/>
      <c r="C69" s="11" t="n"/>
      <c r="D69" s="14">
        <f>IF(B69="","",IFERROR(VLOOKUP(B69,'材料マスタ'!$B$5:$L$104,7,FALSE)&amp;"",""))</f>
        <v/>
      </c>
      <c r="E69" s="13">
        <f>IF(B69="","",IFERROR(VLOOKUP(B69,'材料マスタ'!$B$5:$L$104,11,FALSE),""))</f>
        <v/>
      </c>
      <c r="F69" s="12">
        <f>IF(OR(B69="",C69=""),"",IFERROR(ROUND(C69*E69,2),""))</f>
        <v/>
      </c>
      <c r="G69" s="14">
        <f>IF(B69="","",IFERROR(IF(VLOOKUP(B69,'材料マスタ'!$B$5:$L$104,11,FALSE)="","材料マスタを確認",IF(C69="","使用量を入力","OK")),"未登録の材料"))</f>
        <v/>
      </c>
    </row>
    <row r="70">
      <c r="A70" s="7" t="n">
        <v>14</v>
      </c>
      <c r="B70" s="8" t="n"/>
      <c r="C70" s="11" t="n"/>
      <c r="D70" s="14">
        <f>IF(B70="","",IFERROR(VLOOKUP(B70,'材料マスタ'!$B$5:$L$104,7,FALSE)&amp;"",""))</f>
        <v/>
      </c>
      <c r="E70" s="13">
        <f>IF(B70="","",IFERROR(VLOOKUP(B70,'材料マスタ'!$B$5:$L$104,11,FALSE),""))</f>
        <v/>
      </c>
      <c r="F70" s="12">
        <f>IF(OR(B70="",C70=""),"",IFERROR(ROUND(C70*E70,2),""))</f>
        <v/>
      </c>
      <c r="G70" s="14">
        <f>IF(B70="","",IFERROR(IF(VLOOKUP(B70,'材料マスタ'!$B$5:$L$104,11,FALSE)="","材料マスタを確認",IF(C70="","使用量を入力","OK")),"未登録の材料"))</f>
        <v/>
      </c>
    </row>
    <row r="71">
      <c r="A71" s="7" t="n">
        <v>15</v>
      </c>
      <c r="B71" s="8" t="n"/>
      <c r="C71" s="11" t="n"/>
      <c r="D71" s="14">
        <f>IF(B71="","",IFERROR(VLOOKUP(B71,'材料マスタ'!$B$5:$L$104,7,FALSE)&amp;"",""))</f>
        <v/>
      </c>
      <c r="E71" s="13">
        <f>IF(B71="","",IFERROR(VLOOKUP(B71,'材料マスタ'!$B$5:$L$104,11,FALSE),""))</f>
        <v/>
      </c>
      <c r="F71" s="12">
        <f>IF(OR(B71="",C71=""),"",IFERROR(ROUND(C71*E71,2),""))</f>
        <v/>
      </c>
      <c r="G71" s="14">
        <f>IF(B71="","",IFERROR(IF(VLOOKUP(B71,'材料マスタ'!$B$5:$L$104,11,FALSE)="","材料マスタを確認",IF(C71="","使用量を入力","OK")),"未登録の材料"))</f>
        <v/>
      </c>
    </row>
    <row r="72">
      <c r="B72" s="21" t="inlineStr">
        <is>
          <t>合計原価（税抜・円）</t>
        </is>
      </c>
      <c r="C72" s="22">
        <f>SUM(F57:F71)</f>
        <v/>
      </c>
    </row>
    <row r="73">
      <c r="B73" s="23" t="inlineStr">
        <is>
          <t>目標原価率（適用値）</t>
        </is>
      </c>
      <c r="C73" s="24">
        <f>IF(E55="",'設定'!$C$4,IF(E55&gt;1,E55/100,E55))</f>
        <v/>
      </c>
    </row>
    <row r="74">
      <c r="B74" s="23" t="inlineStr">
        <is>
          <t>売価の税率（適用値）</t>
        </is>
      </c>
      <c r="C74" s="25">
        <f>IF(G55="",'設定'!$C$5,IF(G55&gt;=1,G55/100,G55))</f>
        <v/>
      </c>
    </row>
    <row r="75">
      <c r="B75" s="23" t="inlineStr">
        <is>
          <t>税抜売価（円）</t>
        </is>
      </c>
      <c r="C75" s="22">
        <f>IF(C55="","",IFERROR(ROUND(C55/(1+C74),2),""))</f>
        <v/>
      </c>
    </row>
    <row r="76">
      <c r="B76" s="21" t="inlineStr">
        <is>
          <t>原価率</t>
        </is>
      </c>
      <c r="C76" s="26">
        <f>IFERROR(IF(OR(C75="",C75=0),"",ROUND(C72/C75,4)),"")</f>
        <v/>
      </c>
      <c r="D76" s="7" t="inlineStr">
        <is>
          <t>判定［自動］</t>
        </is>
      </c>
      <c r="E76" s="27">
        <f>IF(C76="",IF(C54="","","売価を入力"),IF(C76&gt;C73,"超過","目標内"))</f>
        <v/>
      </c>
    </row>
    <row r="77">
      <c r="B77" s="23" t="inlineStr">
        <is>
          <t>目標との差（＋は目標超過）</t>
        </is>
      </c>
      <c r="C77" s="28">
        <f>IF(C76="","",ROUND(C76-C73,4))</f>
        <v/>
      </c>
    </row>
    <row r="78" ht="30" customHeight="1">
      <c r="B78" s="21" t="inlineStr">
        <is>
          <t>推奨売価（税込・円／目標原価率から逆算、10円単位で切り上げ）</t>
        </is>
      </c>
      <c r="C78" s="29">
        <f>IFERROR(IF(OR(C72=0,C73=0),"",ROUNDUP(ROUND(C72/C73*(1+C74),2)/10,0)*10),"")</f>
        <v/>
      </c>
    </row>
    <row r="79">
      <c r="A79" s="15" t="inlineStr">
        <is>
          <t>メニュー4</t>
        </is>
      </c>
      <c r="B79" s="16" t="inlineStr">
        <is>
          <t>【入力】メニュー名</t>
        </is>
      </c>
      <c r="C79" s="8" t="n"/>
      <c r="D79" s="17" t="n"/>
      <c r="E79" s="17" t="n"/>
      <c r="F79" s="17" t="n"/>
      <c r="G79" s="18" t="n"/>
    </row>
    <row r="80">
      <c r="B80" s="7" t="inlineStr">
        <is>
          <t>【入力】販売価格（税込・円）</t>
        </is>
      </c>
      <c r="C80" s="9" t="n"/>
      <c r="D80" s="19" t="inlineStr">
        <is>
          <t>【入力】目標原価率（空欄=設定値）</t>
        </is>
      </c>
      <c r="E80" s="10" t="n"/>
      <c r="F80" s="19" t="inlineStr">
        <is>
          <t>【入力】売価の税率（空欄=設定値）</t>
        </is>
      </c>
      <c r="G80" s="10" t="n"/>
    </row>
    <row r="81" ht="32" customHeight="1">
      <c r="A81" s="20" t="inlineStr">
        <is>
          <t>No</t>
        </is>
      </c>
      <c r="B81" s="20" t="inlineStr">
        <is>
          <t>【入力】材料名（リストから選ぶ）</t>
        </is>
      </c>
      <c r="C81" s="20" t="inlineStr">
        <is>
          <t>【入力】使用量</t>
        </is>
      </c>
      <c r="D81" s="20" t="inlineStr">
        <is>
          <t>単位［自動］</t>
        </is>
      </c>
      <c r="E81" s="20" t="inlineStr">
        <is>
          <t>単価（税抜・円/単位）［自動］</t>
        </is>
      </c>
      <c r="F81" s="20" t="inlineStr">
        <is>
          <t>原価（円）［自動］</t>
        </is>
      </c>
      <c r="G81" s="20" t="inlineStr">
        <is>
          <t>チェック［自動］</t>
        </is>
      </c>
    </row>
    <row r="82">
      <c r="A82" s="7" t="n">
        <v>1</v>
      </c>
      <c r="B82" s="8" t="n"/>
      <c r="C82" s="11" t="n"/>
      <c r="D82" s="14">
        <f>IF(B82="","",IFERROR(VLOOKUP(B82,'材料マスタ'!$B$5:$L$104,7,FALSE)&amp;"",""))</f>
        <v/>
      </c>
      <c r="E82" s="13">
        <f>IF(B82="","",IFERROR(VLOOKUP(B82,'材料マスタ'!$B$5:$L$104,11,FALSE),""))</f>
        <v/>
      </c>
      <c r="F82" s="12">
        <f>IF(OR(B82="",C82=""),"",IFERROR(ROUND(C82*E82,2),""))</f>
        <v/>
      </c>
      <c r="G82" s="14">
        <f>IF(B82="","",IFERROR(IF(VLOOKUP(B82,'材料マスタ'!$B$5:$L$104,11,FALSE)="","材料マスタを確認",IF(C82="","使用量を入力","OK")),"未登録の材料"))</f>
        <v/>
      </c>
    </row>
    <row r="83">
      <c r="A83" s="7" t="n">
        <v>2</v>
      </c>
      <c r="B83" s="8" t="n"/>
      <c r="C83" s="11" t="n"/>
      <c r="D83" s="14">
        <f>IF(B83="","",IFERROR(VLOOKUP(B83,'材料マスタ'!$B$5:$L$104,7,FALSE)&amp;"",""))</f>
        <v/>
      </c>
      <c r="E83" s="13">
        <f>IF(B83="","",IFERROR(VLOOKUP(B83,'材料マスタ'!$B$5:$L$104,11,FALSE),""))</f>
        <v/>
      </c>
      <c r="F83" s="12">
        <f>IF(OR(B83="",C83=""),"",IFERROR(ROUND(C83*E83,2),""))</f>
        <v/>
      </c>
      <c r="G83" s="14">
        <f>IF(B83="","",IFERROR(IF(VLOOKUP(B83,'材料マスタ'!$B$5:$L$104,11,FALSE)="","材料マスタを確認",IF(C83="","使用量を入力","OK")),"未登録の材料"))</f>
        <v/>
      </c>
    </row>
    <row r="84">
      <c r="A84" s="7" t="n">
        <v>3</v>
      </c>
      <c r="B84" s="8" t="n"/>
      <c r="C84" s="11" t="n"/>
      <c r="D84" s="14">
        <f>IF(B84="","",IFERROR(VLOOKUP(B84,'材料マスタ'!$B$5:$L$104,7,FALSE)&amp;"",""))</f>
        <v/>
      </c>
      <c r="E84" s="13">
        <f>IF(B84="","",IFERROR(VLOOKUP(B84,'材料マスタ'!$B$5:$L$104,11,FALSE),""))</f>
        <v/>
      </c>
      <c r="F84" s="12">
        <f>IF(OR(B84="",C84=""),"",IFERROR(ROUND(C84*E84,2),""))</f>
        <v/>
      </c>
      <c r="G84" s="14">
        <f>IF(B84="","",IFERROR(IF(VLOOKUP(B84,'材料マスタ'!$B$5:$L$104,11,FALSE)="","材料マスタを確認",IF(C84="","使用量を入力","OK")),"未登録の材料"))</f>
        <v/>
      </c>
    </row>
    <row r="85">
      <c r="A85" s="7" t="n">
        <v>4</v>
      </c>
      <c r="B85" s="8" t="n"/>
      <c r="C85" s="11" t="n"/>
      <c r="D85" s="14">
        <f>IF(B85="","",IFERROR(VLOOKUP(B85,'材料マスタ'!$B$5:$L$104,7,FALSE)&amp;"",""))</f>
        <v/>
      </c>
      <c r="E85" s="13">
        <f>IF(B85="","",IFERROR(VLOOKUP(B85,'材料マスタ'!$B$5:$L$104,11,FALSE),""))</f>
        <v/>
      </c>
      <c r="F85" s="12">
        <f>IF(OR(B85="",C85=""),"",IFERROR(ROUND(C85*E85,2),""))</f>
        <v/>
      </c>
      <c r="G85" s="14">
        <f>IF(B85="","",IFERROR(IF(VLOOKUP(B85,'材料マスタ'!$B$5:$L$104,11,FALSE)="","材料マスタを確認",IF(C85="","使用量を入力","OK")),"未登録の材料"))</f>
        <v/>
      </c>
    </row>
    <row r="86">
      <c r="A86" s="7" t="n">
        <v>5</v>
      </c>
      <c r="B86" s="8" t="n"/>
      <c r="C86" s="11" t="n"/>
      <c r="D86" s="14">
        <f>IF(B86="","",IFERROR(VLOOKUP(B86,'材料マスタ'!$B$5:$L$104,7,FALSE)&amp;"",""))</f>
        <v/>
      </c>
      <c r="E86" s="13">
        <f>IF(B86="","",IFERROR(VLOOKUP(B86,'材料マスタ'!$B$5:$L$104,11,FALSE),""))</f>
        <v/>
      </c>
      <c r="F86" s="12">
        <f>IF(OR(B86="",C86=""),"",IFERROR(ROUND(C86*E86,2),""))</f>
        <v/>
      </c>
      <c r="G86" s="14">
        <f>IF(B86="","",IFERROR(IF(VLOOKUP(B86,'材料マスタ'!$B$5:$L$104,11,FALSE)="","材料マスタを確認",IF(C86="","使用量を入力","OK")),"未登録の材料"))</f>
        <v/>
      </c>
    </row>
    <row r="87">
      <c r="A87" s="7" t="n">
        <v>6</v>
      </c>
      <c r="B87" s="8" t="n"/>
      <c r="C87" s="11" t="n"/>
      <c r="D87" s="14">
        <f>IF(B87="","",IFERROR(VLOOKUP(B87,'材料マスタ'!$B$5:$L$104,7,FALSE)&amp;"",""))</f>
        <v/>
      </c>
      <c r="E87" s="13">
        <f>IF(B87="","",IFERROR(VLOOKUP(B87,'材料マスタ'!$B$5:$L$104,11,FALSE),""))</f>
        <v/>
      </c>
      <c r="F87" s="12">
        <f>IF(OR(B87="",C87=""),"",IFERROR(ROUND(C87*E87,2),""))</f>
        <v/>
      </c>
      <c r="G87" s="14">
        <f>IF(B87="","",IFERROR(IF(VLOOKUP(B87,'材料マスタ'!$B$5:$L$104,11,FALSE)="","材料マスタを確認",IF(C87="","使用量を入力","OK")),"未登録の材料"))</f>
        <v/>
      </c>
    </row>
    <row r="88">
      <c r="A88" s="7" t="n">
        <v>7</v>
      </c>
      <c r="B88" s="8" t="n"/>
      <c r="C88" s="11" t="n"/>
      <c r="D88" s="14">
        <f>IF(B88="","",IFERROR(VLOOKUP(B88,'材料マスタ'!$B$5:$L$104,7,FALSE)&amp;"",""))</f>
        <v/>
      </c>
      <c r="E88" s="13">
        <f>IF(B88="","",IFERROR(VLOOKUP(B88,'材料マスタ'!$B$5:$L$104,11,FALSE),""))</f>
        <v/>
      </c>
      <c r="F88" s="12">
        <f>IF(OR(B88="",C88=""),"",IFERROR(ROUND(C88*E88,2),""))</f>
        <v/>
      </c>
      <c r="G88" s="14">
        <f>IF(B88="","",IFERROR(IF(VLOOKUP(B88,'材料マスタ'!$B$5:$L$104,11,FALSE)="","材料マスタを確認",IF(C88="","使用量を入力","OK")),"未登録の材料"))</f>
        <v/>
      </c>
    </row>
    <row r="89">
      <c r="A89" s="7" t="n">
        <v>8</v>
      </c>
      <c r="B89" s="8" t="n"/>
      <c r="C89" s="11" t="n"/>
      <c r="D89" s="14">
        <f>IF(B89="","",IFERROR(VLOOKUP(B89,'材料マスタ'!$B$5:$L$104,7,FALSE)&amp;"",""))</f>
        <v/>
      </c>
      <c r="E89" s="13">
        <f>IF(B89="","",IFERROR(VLOOKUP(B89,'材料マスタ'!$B$5:$L$104,11,FALSE),""))</f>
        <v/>
      </c>
      <c r="F89" s="12">
        <f>IF(OR(B89="",C89=""),"",IFERROR(ROUND(C89*E89,2),""))</f>
        <v/>
      </c>
      <c r="G89" s="14">
        <f>IF(B89="","",IFERROR(IF(VLOOKUP(B89,'材料マスタ'!$B$5:$L$104,11,FALSE)="","材料マスタを確認",IF(C89="","使用量を入力","OK")),"未登録の材料"))</f>
        <v/>
      </c>
    </row>
    <row r="90">
      <c r="A90" s="7" t="n">
        <v>9</v>
      </c>
      <c r="B90" s="8" t="n"/>
      <c r="C90" s="11" t="n"/>
      <c r="D90" s="14">
        <f>IF(B90="","",IFERROR(VLOOKUP(B90,'材料マスタ'!$B$5:$L$104,7,FALSE)&amp;"",""))</f>
        <v/>
      </c>
      <c r="E90" s="13">
        <f>IF(B90="","",IFERROR(VLOOKUP(B90,'材料マスタ'!$B$5:$L$104,11,FALSE),""))</f>
        <v/>
      </c>
      <c r="F90" s="12">
        <f>IF(OR(B90="",C90=""),"",IFERROR(ROUND(C90*E90,2),""))</f>
        <v/>
      </c>
      <c r="G90" s="14">
        <f>IF(B90="","",IFERROR(IF(VLOOKUP(B90,'材料マスタ'!$B$5:$L$104,11,FALSE)="","材料マスタを確認",IF(C90="","使用量を入力","OK")),"未登録の材料"))</f>
        <v/>
      </c>
    </row>
    <row r="91">
      <c r="A91" s="7" t="n">
        <v>10</v>
      </c>
      <c r="B91" s="8" t="n"/>
      <c r="C91" s="11" t="n"/>
      <c r="D91" s="14">
        <f>IF(B91="","",IFERROR(VLOOKUP(B91,'材料マスタ'!$B$5:$L$104,7,FALSE)&amp;"",""))</f>
        <v/>
      </c>
      <c r="E91" s="13">
        <f>IF(B91="","",IFERROR(VLOOKUP(B91,'材料マスタ'!$B$5:$L$104,11,FALSE),""))</f>
        <v/>
      </c>
      <c r="F91" s="12">
        <f>IF(OR(B91="",C91=""),"",IFERROR(ROUND(C91*E91,2),""))</f>
        <v/>
      </c>
      <c r="G91" s="14">
        <f>IF(B91="","",IFERROR(IF(VLOOKUP(B91,'材料マスタ'!$B$5:$L$104,11,FALSE)="","材料マスタを確認",IF(C91="","使用量を入力","OK")),"未登録の材料"))</f>
        <v/>
      </c>
    </row>
    <row r="92">
      <c r="A92" s="7" t="n">
        <v>11</v>
      </c>
      <c r="B92" s="8" t="n"/>
      <c r="C92" s="11" t="n"/>
      <c r="D92" s="14">
        <f>IF(B92="","",IFERROR(VLOOKUP(B92,'材料マスタ'!$B$5:$L$104,7,FALSE)&amp;"",""))</f>
        <v/>
      </c>
      <c r="E92" s="13">
        <f>IF(B92="","",IFERROR(VLOOKUP(B92,'材料マスタ'!$B$5:$L$104,11,FALSE),""))</f>
        <v/>
      </c>
      <c r="F92" s="12">
        <f>IF(OR(B92="",C92=""),"",IFERROR(ROUND(C92*E92,2),""))</f>
        <v/>
      </c>
      <c r="G92" s="14">
        <f>IF(B92="","",IFERROR(IF(VLOOKUP(B92,'材料マスタ'!$B$5:$L$104,11,FALSE)="","材料マスタを確認",IF(C92="","使用量を入力","OK")),"未登録の材料"))</f>
        <v/>
      </c>
    </row>
    <row r="93">
      <c r="A93" s="7" t="n">
        <v>12</v>
      </c>
      <c r="B93" s="8" t="n"/>
      <c r="C93" s="11" t="n"/>
      <c r="D93" s="14">
        <f>IF(B93="","",IFERROR(VLOOKUP(B93,'材料マスタ'!$B$5:$L$104,7,FALSE)&amp;"",""))</f>
        <v/>
      </c>
      <c r="E93" s="13">
        <f>IF(B93="","",IFERROR(VLOOKUP(B93,'材料マスタ'!$B$5:$L$104,11,FALSE),""))</f>
        <v/>
      </c>
      <c r="F93" s="12">
        <f>IF(OR(B93="",C93=""),"",IFERROR(ROUND(C93*E93,2),""))</f>
        <v/>
      </c>
      <c r="G93" s="14">
        <f>IF(B93="","",IFERROR(IF(VLOOKUP(B93,'材料マスタ'!$B$5:$L$104,11,FALSE)="","材料マスタを確認",IF(C93="","使用量を入力","OK")),"未登録の材料"))</f>
        <v/>
      </c>
    </row>
    <row r="94">
      <c r="A94" s="7" t="n">
        <v>13</v>
      </c>
      <c r="B94" s="8" t="n"/>
      <c r="C94" s="11" t="n"/>
      <c r="D94" s="14">
        <f>IF(B94="","",IFERROR(VLOOKUP(B94,'材料マスタ'!$B$5:$L$104,7,FALSE)&amp;"",""))</f>
        <v/>
      </c>
      <c r="E94" s="13">
        <f>IF(B94="","",IFERROR(VLOOKUP(B94,'材料マスタ'!$B$5:$L$104,11,FALSE),""))</f>
        <v/>
      </c>
      <c r="F94" s="12">
        <f>IF(OR(B94="",C94=""),"",IFERROR(ROUND(C94*E94,2),""))</f>
        <v/>
      </c>
      <c r="G94" s="14">
        <f>IF(B94="","",IFERROR(IF(VLOOKUP(B94,'材料マスタ'!$B$5:$L$104,11,FALSE)="","材料マスタを確認",IF(C94="","使用量を入力","OK")),"未登録の材料"))</f>
        <v/>
      </c>
    </row>
    <row r="95">
      <c r="A95" s="7" t="n">
        <v>14</v>
      </c>
      <c r="B95" s="8" t="n"/>
      <c r="C95" s="11" t="n"/>
      <c r="D95" s="14">
        <f>IF(B95="","",IFERROR(VLOOKUP(B95,'材料マスタ'!$B$5:$L$104,7,FALSE)&amp;"",""))</f>
        <v/>
      </c>
      <c r="E95" s="13">
        <f>IF(B95="","",IFERROR(VLOOKUP(B95,'材料マスタ'!$B$5:$L$104,11,FALSE),""))</f>
        <v/>
      </c>
      <c r="F95" s="12">
        <f>IF(OR(B95="",C95=""),"",IFERROR(ROUND(C95*E95,2),""))</f>
        <v/>
      </c>
      <c r="G95" s="14">
        <f>IF(B95="","",IFERROR(IF(VLOOKUP(B95,'材料マスタ'!$B$5:$L$104,11,FALSE)="","材料マスタを確認",IF(C95="","使用量を入力","OK")),"未登録の材料"))</f>
        <v/>
      </c>
    </row>
    <row r="96">
      <c r="A96" s="7" t="n">
        <v>15</v>
      </c>
      <c r="B96" s="8" t="n"/>
      <c r="C96" s="11" t="n"/>
      <c r="D96" s="14">
        <f>IF(B96="","",IFERROR(VLOOKUP(B96,'材料マスタ'!$B$5:$L$104,7,FALSE)&amp;"",""))</f>
        <v/>
      </c>
      <c r="E96" s="13">
        <f>IF(B96="","",IFERROR(VLOOKUP(B96,'材料マスタ'!$B$5:$L$104,11,FALSE),""))</f>
        <v/>
      </c>
      <c r="F96" s="12">
        <f>IF(OR(B96="",C96=""),"",IFERROR(ROUND(C96*E96,2),""))</f>
        <v/>
      </c>
      <c r="G96" s="14">
        <f>IF(B96="","",IFERROR(IF(VLOOKUP(B96,'材料マスタ'!$B$5:$L$104,11,FALSE)="","材料マスタを確認",IF(C96="","使用量を入力","OK")),"未登録の材料"))</f>
        <v/>
      </c>
    </row>
    <row r="97">
      <c r="B97" s="21" t="inlineStr">
        <is>
          <t>合計原価（税抜・円）</t>
        </is>
      </c>
      <c r="C97" s="22">
        <f>SUM(F82:F96)</f>
        <v/>
      </c>
    </row>
    <row r="98">
      <c r="B98" s="23" t="inlineStr">
        <is>
          <t>目標原価率（適用値）</t>
        </is>
      </c>
      <c r="C98" s="24">
        <f>IF(E80="",'設定'!$C$4,IF(E80&gt;1,E80/100,E80))</f>
        <v/>
      </c>
    </row>
    <row r="99">
      <c r="B99" s="23" t="inlineStr">
        <is>
          <t>売価の税率（適用値）</t>
        </is>
      </c>
      <c r="C99" s="25">
        <f>IF(G80="",'設定'!$C$5,IF(G80&gt;=1,G80/100,G80))</f>
        <v/>
      </c>
    </row>
    <row r="100">
      <c r="B100" s="23" t="inlineStr">
        <is>
          <t>税抜売価（円）</t>
        </is>
      </c>
      <c r="C100" s="22">
        <f>IF(C80="","",IFERROR(ROUND(C80/(1+C99),2),""))</f>
        <v/>
      </c>
    </row>
    <row r="101">
      <c r="B101" s="21" t="inlineStr">
        <is>
          <t>原価率</t>
        </is>
      </c>
      <c r="C101" s="26">
        <f>IFERROR(IF(OR(C100="",C100=0),"",ROUND(C97/C100,4)),"")</f>
        <v/>
      </c>
      <c r="D101" s="7" t="inlineStr">
        <is>
          <t>判定［自動］</t>
        </is>
      </c>
      <c r="E101" s="27">
        <f>IF(C101="",IF(C79="","","売価を入力"),IF(C101&gt;C98,"超過","目標内"))</f>
        <v/>
      </c>
    </row>
    <row r="102">
      <c r="B102" s="23" t="inlineStr">
        <is>
          <t>目標との差（＋は目標超過）</t>
        </is>
      </c>
      <c r="C102" s="28">
        <f>IF(C101="","",ROUND(C101-C98,4))</f>
        <v/>
      </c>
    </row>
    <row r="103" ht="30" customHeight="1">
      <c r="B103" s="21" t="inlineStr">
        <is>
          <t>推奨売価（税込・円／目標原価率から逆算、10円単位で切り上げ）</t>
        </is>
      </c>
      <c r="C103" s="29">
        <f>IFERROR(IF(OR(C97=0,C98=0),"",ROUNDUP(ROUND(C97/C98*(1+C99),2)/10,0)*10),"")</f>
        <v/>
      </c>
    </row>
    <row r="104">
      <c r="A104" s="15" t="inlineStr">
        <is>
          <t>メニュー5</t>
        </is>
      </c>
      <c r="B104" s="16" t="inlineStr">
        <is>
          <t>【入力】メニュー名</t>
        </is>
      </c>
      <c r="C104" s="8" t="n"/>
      <c r="D104" s="17" t="n"/>
      <c r="E104" s="17" t="n"/>
      <c r="F104" s="17" t="n"/>
      <c r="G104" s="18" t="n"/>
    </row>
    <row r="105">
      <c r="B105" s="7" t="inlineStr">
        <is>
          <t>【入力】販売価格（税込・円）</t>
        </is>
      </c>
      <c r="C105" s="9" t="n"/>
      <c r="D105" s="19" t="inlineStr">
        <is>
          <t>【入力】目標原価率（空欄=設定値）</t>
        </is>
      </c>
      <c r="E105" s="10" t="n"/>
      <c r="F105" s="19" t="inlineStr">
        <is>
          <t>【入力】売価の税率（空欄=設定値）</t>
        </is>
      </c>
      <c r="G105" s="10" t="n"/>
    </row>
    <row r="106" ht="32" customHeight="1">
      <c r="A106" s="20" t="inlineStr">
        <is>
          <t>No</t>
        </is>
      </c>
      <c r="B106" s="20" t="inlineStr">
        <is>
          <t>【入力】材料名（リストから選ぶ）</t>
        </is>
      </c>
      <c r="C106" s="20" t="inlineStr">
        <is>
          <t>【入力】使用量</t>
        </is>
      </c>
      <c r="D106" s="20" t="inlineStr">
        <is>
          <t>単位［自動］</t>
        </is>
      </c>
      <c r="E106" s="20" t="inlineStr">
        <is>
          <t>単価（税抜・円/単位）［自動］</t>
        </is>
      </c>
      <c r="F106" s="20" t="inlineStr">
        <is>
          <t>原価（円）［自動］</t>
        </is>
      </c>
      <c r="G106" s="20" t="inlineStr">
        <is>
          <t>チェック［自動］</t>
        </is>
      </c>
    </row>
    <row r="107">
      <c r="A107" s="7" t="n">
        <v>1</v>
      </c>
      <c r="B107" s="8" t="n"/>
      <c r="C107" s="11" t="n"/>
      <c r="D107" s="14">
        <f>IF(B107="","",IFERROR(VLOOKUP(B107,'材料マスタ'!$B$5:$L$104,7,FALSE)&amp;"",""))</f>
        <v/>
      </c>
      <c r="E107" s="13">
        <f>IF(B107="","",IFERROR(VLOOKUP(B107,'材料マスタ'!$B$5:$L$104,11,FALSE),""))</f>
        <v/>
      </c>
      <c r="F107" s="12">
        <f>IF(OR(B107="",C107=""),"",IFERROR(ROUND(C107*E107,2),""))</f>
        <v/>
      </c>
      <c r="G107" s="14">
        <f>IF(B107="","",IFERROR(IF(VLOOKUP(B107,'材料マスタ'!$B$5:$L$104,11,FALSE)="","材料マスタを確認",IF(C107="","使用量を入力","OK")),"未登録の材料"))</f>
        <v/>
      </c>
    </row>
    <row r="108">
      <c r="A108" s="7" t="n">
        <v>2</v>
      </c>
      <c r="B108" s="8" t="n"/>
      <c r="C108" s="11" t="n"/>
      <c r="D108" s="14">
        <f>IF(B108="","",IFERROR(VLOOKUP(B108,'材料マスタ'!$B$5:$L$104,7,FALSE)&amp;"",""))</f>
        <v/>
      </c>
      <c r="E108" s="13">
        <f>IF(B108="","",IFERROR(VLOOKUP(B108,'材料マスタ'!$B$5:$L$104,11,FALSE),""))</f>
        <v/>
      </c>
      <c r="F108" s="12">
        <f>IF(OR(B108="",C108=""),"",IFERROR(ROUND(C108*E108,2),""))</f>
        <v/>
      </c>
      <c r="G108" s="14">
        <f>IF(B108="","",IFERROR(IF(VLOOKUP(B108,'材料マスタ'!$B$5:$L$104,11,FALSE)="","材料マスタを確認",IF(C108="","使用量を入力","OK")),"未登録の材料"))</f>
        <v/>
      </c>
    </row>
    <row r="109">
      <c r="A109" s="7" t="n">
        <v>3</v>
      </c>
      <c r="B109" s="8" t="n"/>
      <c r="C109" s="11" t="n"/>
      <c r="D109" s="14">
        <f>IF(B109="","",IFERROR(VLOOKUP(B109,'材料マスタ'!$B$5:$L$104,7,FALSE)&amp;"",""))</f>
        <v/>
      </c>
      <c r="E109" s="13">
        <f>IF(B109="","",IFERROR(VLOOKUP(B109,'材料マスタ'!$B$5:$L$104,11,FALSE),""))</f>
        <v/>
      </c>
      <c r="F109" s="12">
        <f>IF(OR(B109="",C109=""),"",IFERROR(ROUND(C109*E109,2),""))</f>
        <v/>
      </c>
      <c r="G109" s="14">
        <f>IF(B109="","",IFERROR(IF(VLOOKUP(B109,'材料マスタ'!$B$5:$L$104,11,FALSE)="","材料マスタを確認",IF(C109="","使用量を入力","OK")),"未登録の材料"))</f>
        <v/>
      </c>
    </row>
    <row r="110">
      <c r="A110" s="7" t="n">
        <v>4</v>
      </c>
      <c r="B110" s="8" t="n"/>
      <c r="C110" s="11" t="n"/>
      <c r="D110" s="14">
        <f>IF(B110="","",IFERROR(VLOOKUP(B110,'材料マスタ'!$B$5:$L$104,7,FALSE)&amp;"",""))</f>
        <v/>
      </c>
      <c r="E110" s="13">
        <f>IF(B110="","",IFERROR(VLOOKUP(B110,'材料マスタ'!$B$5:$L$104,11,FALSE),""))</f>
        <v/>
      </c>
      <c r="F110" s="12">
        <f>IF(OR(B110="",C110=""),"",IFERROR(ROUND(C110*E110,2),""))</f>
        <v/>
      </c>
      <c r="G110" s="14">
        <f>IF(B110="","",IFERROR(IF(VLOOKUP(B110,'材料マスタ'!$B$5:$L$104,11,FALSE)="","材料マスタを確認",IF(C110="","使用量を入力","OK")),"未登録の材料"))</f>
        <v/>
      </c>
    </row>
    <row r="111">
      <c r="A111" s="7" t="n">
        <v>5</v>
      </c>
      <c r="B111" s="8" t="n"/>
      <c r="C111" s="11" t="n"/>
      <c r="D111" s="14">
        <f>IF(B111="","",IFERROR(VLOOKUP(B111,'材料マスタ'!$B$5:$L$104,7,FALSE)&amp;"",""))</f>
        <v/>
      </c>
      <c r="E111" s="13">
        <f>IF(B111="","",IFERROR(VLOOKUP(B111,'材料マスタ'!$B$5:$L$104,11,FALSE),""))</f>
        <v/>
      </c>
      <c r="F111" s="12">
        <f>IF(OR(B111="",C111=""),"",IFERROR(ROUND(C111*E111,2),""))</f>
        <v/>
      </c>
      <c r="G111" s="14">
        <f>IF(B111="","",IFERROR(IF(VLOOKUP(B111,'材料マスタ'!$B$5:$L$104,11,FALSE)="","材料マスタを確認",IF(C111="","使用量を入力","OK")),"未登録の材料"))</f>
        <v/>
      </c>
    </row>
    <row r="112">
      <c r="A112" s="7" t="n">
        <v>6</v>
      </c>
      <c r="B112" s="8" t="n"/>
      <c r="C112" s="11" t="n"/>
      <c r="D112" s="14">
        <f>IF(B112="","",IFERROR(VLOOKUP(B112,'材料マスタ'!$B$5:$L$104,7,FALSE)&amp;"",""))</f>
        <v/>
      </c>
      <c r="E112" s="13">
        <f>IF(B112="","",IFERROR(VLOOKUP(B112,'材料マスタ'!$B$5:$L$104,11,FALSE),""))</f>
        <v/>
      </c>
      <c r="F112" s="12">
        <f>IF(OR(B112="",C112=""),"",IFERROR(ROUND(C112*E112,2),""))</f>
        <v/>
      </c>
      <c r="G112" s="14">
        <f>IF(B112="","",IFERROR(IF(VLOOKUP(B112,'材料マスタ'!$B$5:$L$104,11,FALSE)="","材料マスタを確認",IF(C112="","使用量を入力","OK")),"未登録の材料"))</f>
        <v/>
      </c>
    </row>
    <row r="113">
      <c r="A113" s="7" t="n">
        <v>7</v>
      </c>
      <c r="B113" s="8" t="n"/>
      <c r="C113" s="11" t="n"/>
      <c r="D113" s="14">
        <f>IF(B113="","",IFERROR(VLOOKUP(B113,'材料マスタ'!$B$5:$L$104,7,FALSE)&amp;"",""))</f>
        <v/>
      </c>
      <c r="E113" s="13">
        <f>IF(B113="","",IFERROR(VLOOKUP(B113,'材料マスタ'!$B$5:$L$104,11,FALSE),""))</f>
        <v/>
      </c>
      <c r="F113" s="12">
        <f>IF(OR(B113="",C113=""),"",IFERROR(ROUND(C113*E113,2),""))</f>
        <v/>
      </c>
      <c r="G113" s="14">
        <f>IF(B113="","",IFERROR(IF(VLOOKUP(B113,'材料マスタ'!$B$5:$L$104,11,FALSE)="","材料マスタを確認",IF(C113="","使用量を入力","OK")),"未登録の材料"))</f>
        <v/>
      </c>
    </row>
    <row r="114">
      <c r="A114" s="7" t="n">
        <v>8</v>
      </c>
      <c r="B114" s="8" t="n"/>
      <c r="C114" s="11" t="n"/>
      <c r="D114" s="14">
        <f>IF(B114="","",IFERROR(VLOOKUP(B114,'材料マスタ'!$B$5:$L$104,7,FALSE)&amp;"",""))</f>
        <v/>
      </c>
      <c r="E114" s="13">
        <f>IF(B114="","",IFERROR(VLOOKUP(B114,'材料マスタ'!$B$5:$L$104,11,FALSE),""))</f>
        <v/>
      </c>
      <c r="F114" s="12">
        <f>IF(OR(B114="",C114=""),"",IFERROR(ROUND(C114*E114,2),""))</f>
        <v/>
      </c>
      <c r="G114" s="14">
        <f>IF(B114="","",IFERROR(IF(VLOOKUP(B114,'材料マスタ'!$B$5:$L$104,11,FALSE)="","材料マスタを確認",IF(C114="","使用量を入力","OK")),"未登録の材料"))</f>
        <v/>
      </c>
    </row>
    <row r="115">
      <c r="A115" s="7" t="n">
        <v>9</v>
      </c>
      <c r="B115" s="8" t="n"/>
      <c r="C115" s="11" t="n"/>
      <c r="D115" s="14">
        <f>IF(B115="","",IFERROR(VLOOKUP(B115,'材料マスタ'!$B$5:$L$104,7,FALSE)&amp;"",""))</f>
        <v/>
      </c>
      <c r="E115" s="13">
        <f>IF(B115="","",IFERROR(VLOOKUP(B115,'材料マスタ'!$B$5:$L$104,11,FALSE),""))</f>
        <v/>
      </c>
      <c r="F115" s="12">
        <f>IF(OR(B115="",C115=""),"",IFERROR(ROUND(C115*E115,2),""))</f>
        <v/>
      </c>
      <c r="G115" s="14">
        <f>IF(B115="","",IFERROR(IF(VLOOKUP(B115,'材料マスタ'!$B$5:$L$104,11,FALSE)="","材料マスタを確認",IF(C115="","使用量を入力","OK")),"未登録の材料"))</f>
        <v/>
      </c>
    </row>
    <row r="116">
      <c r="A116" s="7" t="n">
        <v>10</v>
      </c>
      <c r="B116" s="8" t="n"/>
      <c r="C116" s="11" t="n"/>
      <c r="D116" s="14">
        <f>IF(B116="","",IFERROR(VLOOKUP(B116,'材料マスタ'!$B$5:$L$104,7,FALSE)&amp;"",""))</f>
        <v/>
      </c>
      <c r="E116" s="13">
        <f>IF(B116="","",IFERROR(VLOOKUP(B116,'材料マスタ'!$B$5:$L$104,11,FALSE),""))</f>
        <v/>
      </c>
      <c r="F116" s="12">
        <f>IF(OR(B116="",C116=""),"",IFERROR(ROUND(C116*E116,2),""))</f>
        <v/>
      </c>
      <c r="G116" s="14">
        <f>IF(B116="","",IFERROR(IF(VLOOKUP(B116,'材料マスタ'!$B$5:$L$104,11,FALSE)="","材料マスタを確認",IF(C116="","使用量を入力","OK")),"未登録の材料"))</f>
        <v/>
      </c>
    </row>
    <row r="117">
      <c r="A117" s="7" t="n">
        <v>11</v>
      </c>
      <c r="B117" s="8" t="n"/>
      <c r="C117" s="11" t="n"/>
      <c r="D117" s="14">
        <f>IF(B117="","",IFERROR(VLOOKUP(B117,'材料マスタ'!$B$5:$L$104,7,FALSE)&amp;"",""))</f>
        <v/>
      </c>
      <c r="E117" s="13">
        <f>IF(B117="","",IFERROR(VLOOKUP(B117,'材料マスタ'!$B$5:$L$104,11,FALSE),""))</f>
        <v/>
      </c>
      <c r="F117" s="12">
        <f>IF(OR(B117="",C117=""),"",IFERROR(ROUND(C117*E117,2),""))</f>
        <v/>
      </c>
      <c r="G117" s="14">
        <f>IF(B117="","",IFERROR(IF(VLOOKUP(B117,'材料マスタ'!$B$5:$L$104,11,FALSE)="","材料マスタを確認",IF(C117="","使用量を入力","OK")),"未登録の材料"))</f>
        <v/>
      </c>
    </row>
    <row r="118">
      <c r="A118" s="7" t="n">
        <v>12</v>
      </c>
      <c r="B118" s="8" t="n"/>
      <c r="C118" s="11" t="n"/>
      <c r="D118" s="14">
        <f>IF(B118="","",IFERROR(VLOOKUP(B118,'材料マスタ'!$B$5:$L$104,7,FALSE)&amp;"",""))</f>
        <v/>
      </c>
      <c r="E118" s="13">
        <f>IF(B118="","",IFERROR(VLOOKUP(B118,'材料マスタ'!$B$5:$L$104,11,FALSE),""))</f>
        <v/>
      </c>
      <c r="F118" s="12">
        <f>IF(OR(B118="",C118=""),"",IFERROR(ROUND(C118*E118,2),""))</f>
        <v/>
      </c>
      <c r="G118" s="14">
        <f>IF(B118="","",IFERROR(IF(VLOOKUP(B118,'材料マスタ'!$B$5:$L$104,11,FALSE)="","材料マスタを確認",IF(C118="","使用量を入力","OK")),"未登録の材料"))</f>
        <v/>
      </c>
    </row>
    <row r="119">
      <c r="A119" s="7" t="n">
        <v>13</v>
      </c>
      <c r="B119" s="8" t="n"/>
      <c r="C119" s="11" t="n"/>
      <c r="D119" s="14">
        <f>IF(B119="","",IFERROR(VLOOKUP(B119,'材料マスタ'!$B$5:$L$104,7,FALSE)&amp;"",""))</f>
        <v/>
      </c>
      <c r="E119" s="13">
        <f>IF(B119="","",IFERROR(VLOOKUP(B119,'材料マスタ'!$B$5:$L$104,11,FALSE),""))</f>
        <v/>
      </c>
      <c r="F119" s="12">
        <f>IF(OR(B119="",C119=""),"",IFERROR(ROUND(C119*E119,2),""))</f>
        <v/>
      </c>
      <c r="G119" s="14">
        <f>IF(B119="","",IFERROR(IF(VLOOKUP(B119,'材料マスタ'!$B$5:$L$104,11,FALSE)="","材料マスタを確認",IF(C119="","使用量を入力","OK")),"未登録の材料"))</f>
        <v/>
      </c>
    </row>
    <row r="120">
      <c r="A120" s="7" t="n">
        <v>14</v>
      </c>
      <c r="B120" s="8" t="n"/>
      <c r="C120" s="11" t="n"/>
      <c r="D120" s="14">
        <f>IF(B120="","",IFERROR(VLOOKUP(B120,'材料マスタ'!$B$5:$L$104,7,FALSE)&amp;"",""))</f>
        <v/>
      </c>
      <c r="E120" s="13">
        <f>IF(B120="","",IFERROR(VLOOKUP(B120,'材料マスタ'!$B$5:$L$104,11,FALSE),""))</f>
        <v/>
      </c>
      <c r="F120" s="12">
        <f>IF(OR(B120="",C120=""),"",IFERROR(ROUND(C120*E120,2),""))</f>
        <v/>
      </c>
      <c r="G120" s="14">
        <f>IF(B120="","",IFERROR(IF(VLOOKUP(B120,'材料マスタ'!$B$5:$L$104,11,FALSE)="","材料マスタを確認",IF(C120="","使用量を入力","OK")),"未登録の材料"))</f>
        <v/>
      </c>
    </row>
    <row r="121">
      <c r="A121" s="7" t="n">
        <v>15</v>
      </c>
      <c r="B121" s="8" t="n"/>
      <c r="C121" s="11" t="n"/>
      <c r="D121" s="14">
        <f>IF(B121="","",IFERROR(VLOOKUP(B121,'材料マスタ'!$B$5:$L$104,7,FALSE)&amp;"",""))</f>
        <v/>
      </c>
      <c r="E121" s="13">
        <f>IF(B121="","",IFERROR(VLOOKUP(B121,'材料マスタ'!$B$5:$L$104,11,FALSE),""))</f>
        <v/>
      </c>
      <c r="F121" s="12">
        <f>IF(OR(B121="",C121=""),"",IFERROR(ROUND(C121*E121,2),""))</f>
        <v/>
      </c>
      <c r="G121" s="14">
        <f>IF(B121="","",IFERROR(IF(VLOOKUP(B121,'材料マスタ'!$B$5:$L$104,11,FALSE)="","材料マスタを確認",IF(C121="","使用量を入力","OK")),"未登録の材料"))</f>
        <v/>
      </c>
    </row>
    <row r="122">
      <c r="B122" s="21" t="inlineStr">
        <is>
          <t>合計原価（税抜・円）</t>
        </is>
      </c>
      <c r="C122" s="22">
        <f>SUM(F107:F121)</f>
        <v/>
      </c>
    </row>
    <row r="123">
      <c r="B123" s="23" t="inlineStr">
        <is>
          <t>目標原価率（適用値）</t>
        </is>
      </c>
      <c r="C123" s="24">
        <f>IF(E105="",'設定'!$C$4,IF(E105&gt;1,E105/100,E105))</f>
        <v/>
      </c>
    </row>
    <row r="124">
      <c r="B124" s="23" t="inlineStr">
        <is>
          <t>売価の税率（適用値）</t>
        </is>
      </c>
      <c r="C124" s="25">
        <f>IF(G105="",'設定'!$C$5,IF(G105&gt;=1,G105/100,G105))</f>
        <v/>
      </c>
    </row>
    <row r="125">
      <c r="B125" s="23" t="inlineStr">
        <is>
          <t>税抜売価（円）</t>
        </is>
      </c>
      <c r="C125" s="22">
        <f>IF(C105="","",IFERROR(ROUND(C105/(1+C124),2),""))</f>
        <v/>
      </c>
    </row>
    <row r="126">
      <c r="B126" s="21" t="inlineStr">
        <is>
          <t>原価率</t>
        </is>
      </c>
      <c r="C126" s="26">
        <f>IFERROR(IF(OR(C125="",C125=0),"",ROUND(C122/C125,4)),"")</f>
        <v/>
      </c>
      <c r="D126" s="7" t="inlineStr">
        <is>
          <t>判定［自動］</t>
        </is>
      </c>
      <c r="E126" s="27">
        <f>IF(C126="",IF(C104="","","売価を入力"),IF(C126&gt;C123,"超過","目標内"))</f>
        <v/>
      </c>
    </row>
    <row r="127">
      <c r="B127" s="23" t="inlineStr">
        <is>
          <t>目標との差（＋は目標超過）</t>
        </is>
      </c>
      <c r="C127" s="28">
        <f>IF(C126="","",ROUND(C126-C123,4))</f>
        <v/>
      </c>
    </row>
    <row r="128" ht="30" customHeight="1">
      <c r="B128" s="21" t="inlineStr">
        <is>
          <t>推奨売価（税込・円／目標原価率から逆算、10円単位で切り上げ）</t>
        </is>
      </c>
      <c r="C128" s="29">
        <f>IFERROR(IF(OR(C122=0,C123=0),"",ROUNDUP(ROUND(C122/C123*(1+C124),2)/10,0)*10),"")</f>
        <v/>
      </c>
    </row>
    <row r="129">
      <c r="A129" s="15" t="inlineStr">
        <is>
          <t>メニュー6</t>
        </is>
      </c>
      <c r="B129" s="16" t="inlineStr">
        <is>
          <t>【入力】メニュー名</t>
        </is>
      </c>
      <c r="C129" s="8" t="n"/>
      <c r="D129" s="17" t="n"/>
      <c r="E129" s="17" t="n"/>
      <c r="F129" s="17" t="n"/>
      <c r="G129" s="18" t="n"/>
    </row>
    <row r="130">
      <c r="B130" s="7" t="inlineStr">
        <is>
          <t>【入力】販売価格（税込・円）</t>
        </is>
      </c>
      <c r="C130" s="9" t="n"/>
      <c r="D130" s="19" t="inlineStr">
        <is>
          <t>【入力】目標原価率（空欄=設定値）</t>
        </is>
      </c>
      <c r="E130" s="10" t="n"/>
      <c r="F130" s="19" t="inlineStr">
        <is>
          <t>【入力】売価の税率（空欄=設定値）</t>
        </is>
      </c>
      <c r="G130" s="10" t="n"/>
    </row>
    <row r="131" ht="32" customHeight="1">
      <c r="A131" s="20" t="inlineStr">
        <is>
          <t>No</t>
        </is>
      </c>
      <c r="B131" s="20" t="inlineStr">
        <is>
          <t>【入力】材料名（リストから選ぶ）</t>
        </is>
      </c>
      <c r="C131" s="20" t="inlineStr">
        <is>
          <t>【入力】使用量</t>
        </is>
      </c>
      <c r="D131" s="20" t="inlineStr">
        <is>
          <t>単位［自動］</t>
        </is>
      </c>
      <c r="E131" s="20" t="inlineStr">
        <is>
          <t>単価（税抜・円/単位）［自動］</t>
        </is>
      </c>
      <c r="F131" s="20" t="inlineStr">
        <is>
          <t>原価（円）［自動］</t>
        </is>
      </c>
      <c r="G131" s="20" t="inlineStr">
        <is>
          <t>チェック［自動］</t>
        </is>
      </c>
    </row>
    <row r="132">
      <c r="A132" s="7" t="n">
        <v>1</v>
      </c>
      <c r="B132" s="8" t="n"/>
      <c r="C132" s="11" t="n"/>
      <c r="D132" s="14">
        <f>IF(B132="","",IFERROR(VLOOKUP(B132,'材料マスタ'!$B$5:$L$104,7,FALSE)&amp;"",""))</f>
        <v/>
      </c>
      <c r="E132" s="13">
        <f>IF(B132="","",IFERROR(VLOOKUP(B132,'材料マスタ'!$B$5:$L$104,11,FALSE),""))</f>
        <v/>
      </c>
      <c r="F132" s="12">
        <f>IF(OR(B132="",C132=""),"",IFERROR(ROUND(C132*E132,2),""))</f>
        <v/>
      </c>
      <c r="G132" s="14">
        <f>IF(B132="","",IFERROR(IF(VLOOKUP(B132,'材料マスタ'!$B$5:$L$104,11,FALSE)="","材料マスタを確認",IF(C132="","使用量を入力","OK")),"未登録の材料"))</f>
        <v/>
      </c>
    </row>
    <row r="133">
      <c r="A133" s="7" t="n">
        <v>2</v>
      </c>
      <c r="B133" s="8" t="n"/>
      <c r="C133" s="11" t="n"/>
      <c r="D133" s="14">
        <f>IF(B133="","",IFERROR(VLOOKUP(B133,'材料マスタ'!$B$5:$L$104,7,FALSE)&amp;"",""))</f>
        <v/>
      </c>
      <c r="E133" s="13">
        <f>IF(B133="","",IFERROR(VLOOKUP(B133,'材料マスタ'!$B$5:$L$104,11,FALSE),""))</f>
        <v/>
      </c>
      <c r="F133" s="12">
        <f>IF(OR(B133="",C133=""),"",IFERROR(ROUND(C133*E133,2),""))</f>
        <v/>
      </c>
      <c r="G133" s="14">
        <f>IF(B133="","",IFERROR(IF(VLOOKUP(B133,'材料マスタ'!$B$5:$L$104,11,FALSE)="","材料マスタを確認",IF(C133="","使用量を入力","OK")),"未登録の材料"))</f>
        <v/>
      </c>
    </row>
    <row r="134">
      <c r="A134" s="7" t="n">
        <v>3</v>
      </c>
      <c r="B134" s="8" t="n"/>
      <c r="C134" s="11" t="n"/>
      <c r="D134" s="14">
        <f>IF(B134="","",IFERROR(VLOOKUP(B134,'材料マスタ'!$B$5:$L$104,7,FALSE)&amp;"",""))</f>
        <v/>
      </c>
      <c r="E134" s="13">
        <f>IF(B134="","",IFERROR(VLOOKUP(B134,'材料マスタ'!$B$5:$L$104,11,FALSE),""))</f>
        <v/>
      </c>
      <c r="F134" s="12">
        <f>IF(OR(B134="",C134=""),"",IFERROR(ROUND(C134*E134,2),""))</f>
        <v/>
      </c>
      <c r="G134" s="14">
        <f>IF(B134="","",IFERROR(IF(VLOOKUP(B134,'材料マスタ'!$B$5:$L$104,11,FALSE)="","材料マスタを確認",IF(C134="","使用量を入力","OK")),"未登録の材料"))</f>
        <v/>
      </c>
    </row>
    <row r="135">
      <c r="A135" s="7" t="n">
        <v>4</v>
      </c>
      <c r="B135" s="8" t="n"/>
      <c r="C135" s="11" t="n"/>
      <c r="D135" s="14">
        <f>IF(B135="","",IFERROR(VLOOKUP(B135,'材料マスタ'!$B$5:$L$104,7,FALSE)&amp;"",""))</f>
        <v/>
      </c>
      <c r="E135" s="13">
        <f>IF(B135="","",IFERROR(VLOOKUP(B135,'材料マスタ'!$B$5:$L$104,11,FALSE),""))</f>
        <v/>
      </c>
      <c r="F135" s="12">
        <f>IF(OR(B135="",C135=""),"",IFERROR(ROUND(C135*E135,2),""))</f>
        <v/>
      </c>
      <c r="G135" s="14">
        <f>IF(B135="","",IFERROR(IF(VLOOKUP(B135,'材料マスタ'!$B$5:$L$104,11,FALSE)="","材料マスタを確認",IF(C135="","使用量を入力","OK")),"未登録の材料"))</f>
        <v/>
      </c>
    </row>
    <row r="136">
      <c r="A136" s="7" t="n">
        <v>5</v>
      </c>
      <c r="B136" s="8" t="n"/>
      <c r="C136" s="11" t="n"/>
      <c r="D136" s="14">
        <f>IF(B136="","",IFERROR(VLOOKUP(B136,'材料マスタ'!$B$5:$L$104,7,FALSE)&amp;"",""))</f>
        <v/>
      </c>
      <c r="E136" s="13">
        <f>IF(B136="","",IFERROR(VLOOKUP(B136,'材料マスタ'!$B$5:$L$104,11,FALSE),""))</f>
        <v/>
      </c>
      <c r="F136" s="12">
        <f>IF(OR(B136="",C136=""),"",IFERROR(ROUND(C136*E136,2),""))</f>
        <v/>
      </c>
      <c r="G136" s="14">
        <f>IF(B136="","",IFERROR(IF(VLOOKUP(B136,'材料マスタ'!$B$5:$L$104,11,FALSE)="","材料マスタを確認",IF(C136="","使用量を入力","OK")),"未登録の材料"))</f>
        <v/>
      </c>
    </row>
    <row r="137">
      <c r="A137" s="7" t="n">
        <v>6</v>
      </c>
      <c r="B137" s="8" t="n"/>
      <c r="C137" s="11" t="n"/>
      <c r="D137" s="14">
        <f>IF(B137="","",IFERROR(VLOOKUP(B137,'材料マスタ'!$B$5:$L$104,7,FALSE)&amp;"",""))</f>
        <v/>
      </c>
      <c r="E137" s="13">
        <f>IF(B137="","",IFERROR(VLOOKUP(B137,'材料マスタ'!$B$5:$L$104,11,FALSE),""))</f>
        <v/>
      </c>
      <c r="F137" s="12">
        <f>IF(OR(B137="",C137=""),"",IFERROR(ROUND(C137*E137,2),""))</f>
        <v/>
      </c>
      <c r="G137" s="14">
        <f>IF(B137="","",IFERROR(IF(VLOOKUP(B137,'材料マスタ'!$B$5:$L$104,11,FALSE)="","材料マスタを確認",IF(C137="","使用量を入力","OK")),"未登録の材料"))</f>
        <v/>
      </c>
    </row>
    <row r="138">
      <c r="A138" s="7" t="n">
        <v>7</v>
      </c>
      <c r="B138" s="8" t="n"/>
      <c r="C138" s="11" t="n"/>
      <c r="D138" s="14">
        <f>IF(B138="","",IFERROR(VLOOKUP(B138,'材料マスタ'!$B$5:$L$104,7,FALSE)&amp;"",""))</f>
        <v/>
      </c>
      <c r="E138" s="13">
        <f>IF(B138="","",IFERROR(VLOOKUP(B138,'材料マスタ'!$B$5:$L$104,11,FALSE),""))</f>
        <v/>
      </c>
      <c r="F138" s="12">
        <f>IF(OR(B138="",C138=""),"",IFERROR(ROUND(C138*E138,2),""))</f>
        <v/>
      </c>
      <c r="G138" s="14">
        <f>IF(B138="","",IFERROR(IF(VLOOKUP(B138,'材料マスタ'!$B$5:$L$104,11,FALSE)="","材料マスタを確認",IF(C138="","使用量を入力","OK")),"未登録の材料"))</f>
        <v/>
      </c>
    </row>
    <row r="139">
      <c r="A139" s="7" t="n">
        <v>8</v>
      </c>
      <c r="B139" s="8" t="n"/>
      <c r="C139" s="11" t="n"/>
      <c r="D139" s="14">
        <f>IF(B139="","",IFERROR(VLOOKUP(B139,'材料マスタ'!$B$5:$L$104,7,FALSE)&amp;"",""))</f>
        <v/>
      </c>
      <c r="E139" s="13">
        <f>IF(B139="","",IFERROR(VLOOKUP(B139,'材料マスタ'!$B$5:$L$104,11,FALSE),""))</f>
        <v/>
      </c>
      <c r="F139" s="12">
        <f>IF(OR(B139="",C139=""),"",IFERROR(ROUND(C139*E139,2),""))</f>
        <v/>
      </c>
      <c r="G139" s="14">
        <f>IF(B139="","",IFERROR(IF(VLOOKUP(B139,'材料マスタ'!$B$5:$L$104,11,FALSE)="","材料マスタを確認",IF(C139="","使用量を入力","OK")),"未登録の材料"))</f>
        <v/>
      </c>
    </row>
    <row r="140">
      <c r="A140" s="7" t="n">
        <v>9</v>
      </c>
      <c r="B140" s="8" t="n"/>
      <c r="C140" s="11" t="n"/>
      <c r="D140" s="14">
        <f>IF(B140="","",IFERROR(VLOOKUP(B140,'材料マスタ'!$B$5:$L$104,7,FALSE)&amp;"",""))</f>
        <v/>
      </c>
      <c r="E140" s="13">
        <f>IF(B140="","",IFERROR(VLOOKUP(B140,'材料マスタ'!$B$5:$L$104,11,FALSE),""))</f>
        <v/>
      </c>
      <c r="F140" s="12">
        <f>IF(OR(B140="",C140=""),"",IFERROR(ROUND(C140*E140,2),""))</f>
        <v/>
      </c>
      <c r="G140" s="14">
        <f>IF(B140="","",IFERROR(IF(VLOOKUP(B140,'材料マスタ'!$B$5:$L$104,11,FALSE)="","材料マスタを確認",IF(C140="","使用量を入力","OK")),"未登録の材料"))</f>
        <v/>
      </c>
    </row>
    <row r="141">
      <c r="A141" s="7" t="n">
        <v>10</v>
      </c>
      <c r="B141" s="8" t="n"/>
      <c r="C141" s="11" t="n"/>
      <c r="D141" s="14">
        <f>IF(B141="","",IFERROR(VLOOKUP(B141,'材料マスタ'!$B$5:$L$104,7,FALSE)&amp;"",""))</f>
        <v/>
      </c>
      <c r="E141" s="13">
        <f>IF(B141="","",IFERROR(VLOOKUP(B141,'材料マスタ'!$B$5:$L$104,11,FALSE),""))</f>
        <v/>
      </c>
      <c r="F141" s="12">
        <f>IF(OR(B141="",C141=""),"",IFERROR(ROUND(C141*E141,2),""))</f>
        <v/>
      </c>
      <c r="G141" s="14">
        <f>IF(B141="","",IFERROR(IF(VLOOKUP(B141,'材料マスタ'!$B$5:$L$104,11,FALSE)="","材料マスタを確認",IF(C141="","使用量を入力","OK")),"未登録の材料"))</f>
        <v/>
      </c>
    </row>
    <row r="142">
      <c r="A142" s="7" t="n">
        <v>11</v>
      </c>
      <c r="B142" s="8" t="n"/>
      <c r="C142" s="11" t="n"/>
      <c r="D142" s="14">
        <f>IF(B142="","",IFERROR(VLOOKUP(B142,'材料マスタ'!$B$5:$L$104,7,FALSE)&amp;"",""))</f>
        <v/>
      </c>
      <c r="E142" s="13">
        <f>IF(B142="","",IFERROR(VLOOKUP(B142,'材料マスタ'!$B$5:$L$104,11,FALSE),""))</f>
        <v/>
      </c>
      <c r="F142" s="12">
        <f>IF(OR(B142="",C142=""),"",IFERROR(ROUND(C142*E142,2),""))</f>
        <v/>
      </c>
      <c r="G142" s="14">
        <f>IF(B142="","",IFERROR(IF(VLOOKUP(B142,'材料マスタ'!$B$5:$L$104,11,FALSE)="","材料マスタを確認",IF(C142="","使用量を入力","OK")),"未登録の材料"))</f>
        <v/>
      </c>
    </row>
    <row r="143">
      <c r="A143" s="7" t="n">
        <v>12</v>
      </c>
      <c r="B143" s="8" t="n"/>
      <c r="C143" s="11" t="n"/>
      <c r="D143" s="14">
        <f>IF(B143="","",IFERROR(VLOOKUP(B143,'材料マスタ'!$B$5:$L$104,7,FALSE)&amp;"",""))</f>
        <v/>
      </c>
      <c r="E143" s="13">
        <f>IF(B143="","",IFERROR(VLOOKUP(B143,'材料マスタ'!$B$5:$L$104,11,FALSE),""))</f>
        <v/>
      </c>
      <c r="F143" s="12">
        <f>IF(OR(B143="",C143=""),"",IFERROR(ROUND(C143*E143,2),""))</f>
        <v/>
      </c>
      <c r="G143" s="14">
        <f>IF(B143="","",IFERROR(IF(VLOOKUP(B143,'材料マスタ'!$B$5:$L$104,11,FALSE)="","材料マスタを確認",IF(C143="","使用量を入力","OK")),"未登録の材料"))</f>
        <v/>
      </c>
    </row>
    <row r="144">
      <c r="A144" s="7" t="n">
        <v>13</v>
      </c>
      <c r="B144" s="8" t="n"/>
      <c r="C144" s="11" t="n"/>
      <c r="D144" s="14">
        <f>IF(B144="","",IFERROR(VLOOKUP(B144,'材料マスタ'!$B$5:$L$104,7,FALSE)&amp;"",""))</f>
        <v/>
      </c>
      <c r="E144" s="13">
        <f>IF(B144="","",IFERROR(VLOOKUP(B144,'材料マスタ'!$B$5:$L$104,11,FALSE),""))</f>
        <v/>
      </c>
      <c r="F144" s="12">
        <f>IF(OR(B144="",C144=""),"",IFERROR(ROUND(C144*E144,2),""))</f>
        <v/>
      </c>
      <c r="G144" s="14">
        <f>IF(B144="","",IFERROR(IF(VLOOKUP(B144,'材料マスタ'!$B$5:$L$104,11,FALSE)="","材料マスタを確認",IF(C144="","使用量を入力","OK")),"未登録の材料"))</f>
        <v/>
      </c>
    </row>
    <row r="145">
      <c r="A145" s="7" t="n">
        <v>14</v>
      </c>
      <c r="B145" s="8" t="n"/>
      <c r="C145" s="11" t="n"/>
      <c r="D145" s="14">
        <f>IF(B145="","",IFERROR(VLOOKUP(B145,'材料マスタ'!$B$5:$L$104,7,FALSE)&amp;"",""))</f>
        <v/>
      </c>
      <c r="E145" s="13">
        <f>IF(B145="","",IFERROR(VLOOKUP(B145,'材料マスタ'!$B$5:$L$104,11,FALSE),""))</f>
        <v/>
      </c>
      <c r="F145" s="12">
        <f>IF(OR(B145="",C145=""),"",IFERROR(ROUND(C145*E145,2),""))</f>
        <v/>
      </c>
      <c r="G145" s="14">
        <f>IF(B145="","",IFERROR(IF(VLOOKUP(B145,'材料マスタ'!$B$5:$L$104,11,FALSE)="","材料マスタを確認",IF(C145="","使用量を入力","OK")),"未登録の材料"))</f>
        <v/>
      </c>
    </row>
    <row r="146">
      <c r="A146" s="7" t="n">
        <v>15</v>
      </c>
      <c r="B146" s="8" t="n"/>
      <c r="C146" s="11" t="n"/>
      <c r="D146" s="14">
        <f>IF(B146="","",IFERROR(VLOOKUP(B146,'材料マスタ'!$B$5:$L$104,7,FALSE)&amp;"",""))</f>
        <v/>
      </c>
      <c r="E146" s="13">
        <f>IF(B146="","",IFERROR(VLOOKUP(B146,'材料マスタ'!$B$5:$L$104,11,FALSE),""))</f>
        <v/>
      </c>
      <c r="F146" s="12">
        <f>IF(OR(B146="",C146=""),"",IFERROR(ROUND(C146*E146,2),""))</f>
        <v/>
      </c>
      <c r="G146" s="14">
        <f>IF(B146="","",IFERROR(IF(VLOOKUP(B146,'材料マスタ'!$B$5:$L$104,11,FALSE)="","材料マスタを確認",IF(C146="","使用量を入力","OK")),"未登録の材料"))</f>
        <v/>
      </c>
    </row>
    <row r="147">
      <c r="B147" s="21" t="inlineStr">
        <is>
          <t>合計原価（税抜・円）</t>
        </is>
      </c>
      <c r="C147" s="22">
        <f>SUM(F132:F146)</f>
        <v/>
      </c>
    </row>
    <row r="148">
      <c r="B148" s="23" t="inlineStr">
        <is>
          <t>目標原価率（適用値）</t>
        </is>
      </c>
      <c r="C148" s="24">
        <f>IF(E130="",'設定'!$C$4,IF(E130&gt;1,E130/100,E130))</f>
        <v/>
      </c>
    </row>
    <row r="149">
      <c r="B149" s="23" t="inlineStr">
        <is>
          <t>売価の税率（適用値）</t>
        </is>
      </c>
      <c r="C149" s="25">
        <f>IF(G130="",'設定'!$C$5,IF(G130&gt;=1,G130/100,G130))</f>
        <v/>
      </c>
    </row>
    <row r="150">
      <c r="B150" s="23" t="inlineStr">
        <is>
          <t>税抜売価（円）</t>
        </is>
      </c>
      <c r="C150" s="22">
        <f>IF(C130="","",IFERROR(ROUND(C130/(1+C149),2),""))</f>
        <v/>
      </c>
    </row>
    <row r="151">
      <c r="B151" s="21" t="inlineStr">
        <is>
          <t>原価率</t>
        </is>
      </c>
      <c r="C151" s="26">
        <f>IFERROR(IF(OR(C150="",C150=0),"",ROUND(C147/C150,4)),"")</f>
        <v/>
      </c>
      <c r="D151" s="7" t="inlineStr">
        <is>
          <t>判定［自動］</t>
        </is>
      </c>
      <c r="E151" s="27">
        <f>IF(C151="",IF(C129="","","売価を入力"),IF(C151&gt;C148,"超過","目標内"))</f>
        <v/>
      </c>
    </row>
    <row r="152">
      <c r="B152" s="23" t="inlineStr">
        <is>
          <t>目標との差（＋は目標超過）</t>
        </is>
      </c>
      <c r="C152" s="28">
        <f>IF(C151="","",ROUND(C151-C148,4))</f>
        <v/>
      </c>
    </row>
    <row r="153" ht="30" customHeight="1">
      <c r="B153" s="21" t="inlineStr">
        <is>
          <t>推奨売価（税込・円／目標原価率から逆算、10円単位で切り上げ）</t>
        </is>
      </c>
      <c r="C153" s="29">
        <f>IFERROR(IF(OR(C147=0,C148=0),"",ROUNDUP(ROUND(C147/C148*(1+C149),2)/10,0)*10),"")</f>
        <v/>
      </c>
    </row>
    <row r="154">
      <c r="A154" s="15" t="inlineStr">
        <is>
          <t>メニュー7</t>
        </is>
      </c>
      <c r="B154" s="16" t="inlineStr">
        <is>
          <t>【入力】メニュー名</t>
        </is>
      </c>
      <c r="C154" s="8" t="n"/>
      <c r="D154" s="17" t="n"/>
      <c r="E154" s="17" t="n"/>
      <c r="F154" s="17" t="n"/>
      <c r="G154" s="18" t="n"/>
    </row>
    <row r="155">
      <c r="B155" s="7" t="inlineStr">
        <is>
          <t>【入力】販売価格（税込・円）</t>
        </is>
      </c>
      <c r="C155" s="9" t="n"/>
      <c r="D155" s="19" t="inlineStr">
        <is>
          <t>【入力】目標原価率（空欄=設定値）</t>
        </is>
      </c>
      <c r="E155" s="10" t="n"/>
      <c r="F155" s="19" t="inlineStr">
        <is>
          <t>【入力】売価の税率（空欄=設定値）</t>
        </is>
      </c>
      <c r="G155" s="10" t="n"/>
    </row>
    <row r="156" ht="32" customHeight="1">
      <c r="A156" s="20" t="inlineStr">
        <is>
          <t>No</t>
        </is>
      </c>
      <c r="B156" s="20" t="inlineStr">
        <is>
          <t>【入力】材料名（リストから選ぶ）</t>
        </is>
      </c>
      <c r="C156" s="20" t="inlineStr">
        <is>
          <t>【入力】使用量</t>
        </is>
      </c>
      <c r="D156" s="20" t="inlineStr">
        <is>
          <t>単位［自動］</t>
        </is>
      </c>
      <c r="E156" s="20" t="inlineStr">
        <is>
          <t>単価（税抜・円/単位）［自動］</t>
        </is>
      </c>
      <c r="F156" s="20" t="inlineStr">
        <is>
          <t>原価（円）［自動］</t>
        </is>
      </c>
      <c r="G156" s="20" t="inlineStr">
        <is>
          <t>チェック［自動］</t>
        </is>
      </c>
    </row>
    <row r="157">
      <c r="A157" s="7" t="n">
        <v>1</v>
      </c>
      <c r="B157" s="8" t="n"/>
      <c r="C157" s="11" t="n"/>
      <c r="D157" s="14">
        <f>IF(B157="","",IFERROR(VLOOKUP(B157,'材料マスタ'!$B$5:$L$104,7,FALSE)&amp;"",""))</f>
        <v/>
      </c>
      <c r="E157" s="13">
        <f>IF(B157="","",IFERROR(VLOOKUP(B157,'材料マスタ'!$B$5:$L$104,11,FALSE),""))</f>
        <v/>
      </c>
      <c r="F157" s="12">
        <f>IF(OR(B157="",C157=""),"",IFERROR(ROUND(C157*E157,2),""))</f>
        <v/>
      </c>
      <c r="G157" s="14">
        <f>IF(B157="","",IFERROR(IF(VLOOKUP(B157,'材料マスタ'!$B$5:$L$104,11,FALSE)="","材料マスタを確認",IF(C157="","使用量を入力","OK")),"未登録の材料"))</f>
        <v/>
      </c>
    </row>
    <row r="158">
      <c r="A158" s="7" t="n">
        <v>2</v>
      </c>
      <c r="B158" s="8" t="n"/>
      <c r="C158" s="11" t="n"/>
      <c r="D158" s="14">
        <f>IF(B158="","",IFERROR(VLOOKUP(B158,'材料マスタ'!$B$5:$L$104,7,FALSE)&amp;"",""))</f>
        <v/>
      </c>
      <c r="E158" s="13">
        <f>IF(B158="","",IFERROR(VLOOKUP(B158,'材料マスタ'!$B$5:$L$104,11,FALSE),""))</f>
        <v/>
      </c>
      <c r="F158" s="12">
        <f>IF(OR(B158="",C158=""),"",IFERROR(ROUND(C158*E158,2),""))</f>
        <v/>
      </c>
      <c r="G158" s="14">
        <f>IF(B158="","",IFERROR(IF(VLOOKUP(B158,'材料マスタ'!$B$5:$L$104,11,FALSE)="","材料マスタを確認",IF(C158="","使用量を入力","OK")),"未登録の材料"))</f>
        <v/>
      </c>
    </row>
    <row r="159">
      <c r="A159" s="7" t="n">
        <v>3</v>
      </c>
      <c r="B159" s="8" t="n"/>
      <c r="C159" s="11" t="n"/>
      <c r="D159" s="14">
        <f>IF(B159="","",IFERROR(VLOOKUP(B159,'材料マスタ'!$B$5:$L$104,7,FALSE)&amp;"",""))</f>
        <v/>
      </c>
      <c r="E159" s="13">
        <f>IF(B159="","",IFERROR(VLOOKUP(B159,'材料マスタ'!$B$5:$L$104,11,FALSE),""))</f>
        <v/>
      </c>
      <c r="F159" s="12">
        <f>IF(OR(B159="",C159=""),"",IFERROR(ROUND(C159*E159,2),""))</f>
        <v/>
      </c>
      <c r="G159" s="14">
        <f>IF(B159="","",IFERROR(IF(VLOOKUP(B159,'材料マスタ'!$B$5:$L$104,11,FALSE)="","材料マスタを確認",IF(C159="","使用量を入力","OK")),"未登録の材料"))</f>
        <v/>
      </c>
    </row>
    <row r="160">
      <c r="A160" s="7" t="n">
        <v>4</v>
      </c>
      <c r="B160" s="8" t="n"/>
      <c r="C160" s="11" t="n"/>
      <c r="D160" s="14">
        <f>IF(B160="","",IFERROR(VLOOKUP(B160,'材料マスタ'!$B$5:$L$104,7,FALSE)&amp;"",""))</f>
        <v/>
      </c>
      <c r="E160" s="13">
        <f>IF(B160="","",IFERROR(VLOOKUP(B160,'材料マスタ'!$B$5:$L$104,11,FALSE),""))</f>
        <v/>
      </c>
      <c r="F160" s="12">
        <f>IF(OR(B160="",C160=""),"",IFERROR(ROUND(C160*E160,2),""))</f>
        <v/>
      </c>
      <c r="G160" s="14">
        <f>IF(B160="","",IFERROR(IF(VLOOKUP(B160,'材料マスタ'!$B$5:$L$104,11,FALSE)="","材料マスタを確認",IF(C160="","使用量を入力","OK")),"未登録の材料"))</f>
        <v/>
      </c>
    </row>
    <row r="161">
      <c r="A161" s="7" t="n">
        <v>5</v>
      </c>
      <c r="B161" s="8" t="n"/>
      <c r="C161" s="11" t="n"/>
      <c r="D161" s="14">
        <f>IF(B161="","",IFERROR(VLOOKUP(B161,'材料マスタ'!$B$5:$L$104,7,FALSE)&amp;"",""))</f>
        <v/>
      </c>
      <c r="E161" s="13">
        <f>IF(B161="","",IFERROR(VLOOKUP(B161,'材料マスタ'!$B$5:$L$104,11,FALSE),""))</f>
        <v/>
      </c>
      <c r="F161" s="12">
        <f>IF(OR(B161="",C161=""),"",IFERROR(ROUND(C161*E161,2),""))</f>
        <v/>
      </c>
      <c r="G161" s="14">
        <f>IF(B161="","",IFERROR(IF(VLOOKUP(B161,'材料マスタ'!$B$5:$L$104,11,FALSE)="","材料マスタを確認",IF(C161="","使用量を入力","OK")),"未登録の材料"))</f>
        <v/>
      </c>
    </row>
    <row r="162">
      <c r="A162" s="7" t="n">
        <v>6</v>
      </c>
      <c r="B162" s="8" t="n"/>
      <c r="C162" s="11" t="n"/>
      <c r="D162" s="14">
        <f>IF(B162="","",IFERROR(VLOOKUP(B162,'材料マスタ'!$B$5:$L$104,7,FALSE)&amp;"",""))</f>
        <v/>
      </c>
      <c r="E162" s="13">
        <f>IF(B162="","",IFERROR(VLOOKUP(B162,'材料マスタ'!$B$5:$L$104,11,FALSE),""))</f>
        <v/>
      </c>
      <c r="F162" s="12">
        <f>IF(OR(B162="",C162=""),"",IFERROR(ROUND(C162*E162,2),""))</f>
        <v/>
      </c>
      <c r="G162" s="14">
        <f>IF(B162="","",IFERROR(IF(VLOOKUP(B162,'材料マスタ'!$B$5:$L$104,11,FALSE)="","材料マスタを確認",IF(C162="","使用量を入力","OK")),"未登録の材料"))</f>
        <v/>
      </c>
    </row>
    <row r="163">
      <c r="A163" s="7" t="n">
        <v>7</v>
      </c>
      <c r="B163" s="8" t="n"/>
      <c r="C163" s="11" t="n"/>
      <c r="D163" s="14">
        <f>IF(B163="","",IFERROR(VLOOKUP(B163,'材料マスタ'!$B$5:$L$104,7,FALSE)&amp;"",""))</f>
        <v/>
      </c>
      <c r="E163" s="13">
        <f>IF(B163="","",IFERROR(VLOOKUP(B163,'材料マスタ'!$B$5:$L$104,11,FALSE),""))</f>
        <v/>
      </c>
      <c r="F163" s="12">
        <f>IF(OR(B163="",C163=""),"",IFERROR(ROUND(C163*E163,2),""))</f>
        <v/>
      </c>
      <c r="G163" s="14">
        <f>IF(B163="","",IFERROR(IF(VLOOKUP(B163,'材料マスタ'!$B$5:$L$104,11,FALSE)="","材料マスタを確認",IF(C163="","使用量を入力","OK")),"未登録の材料"))</f>
        <v/>
      </c>
    </row>
    <row r="164">
      <c r="A164" s="7" t="n">
        <v>8</v>
      </c>
      <c r="B164" s="8" t="n"/>
      <c r="C164" s="11" t="n"/>
      <c r="D164" s="14">
        <f>IF(B164="","",IFERROR(VLOOKUP(B164,'材料マスタ'!$B$5:$L$104,7,FALSE)&amp;"",""))</f>
        <v/>
      </c>
      <c r="E164" s="13">
        <f>IF(B164="","",IFERROR(VLOOKUP(B164,'材料マスタ'!$B$5:$L$104,11,FALSE),""))</f>
        <v/>
      </c>
      <c r="F164" s="12">
        <f>IF(OR(B164="",C164=""),"",IFERROR(ROUND(C164*E164,2),""))</f>
        <v/>
      </c>
      <c r="G164" s="14">
        <f>IF(B164="","",IFERROR(IF(VLOOKUP(B164,'材料マスタ'!$B$5:$L$104,11,FALSE)="","材料マスタを確認",IF(C164="","使用量を入力","OK")),"未登録の材料"))</f>
        <v/>
      </c>
    </row>
    <row r="165">
      <c r="A165" s="7" t="n">
        <v>9</v>
      </c>
      <c r="B165" s="8" t="n"/>
      <c r="C165" s="11" t="n"/>
      <c r="D165" s="14">
        <f>IF(B165="","",IFERROR(VLOOKUP(B165,'材料マスタ'!$B$5:$L$104,7,FALSE)&amp;"",""))</f>
        <v/>
      </c>
      <c r="E165" s="13">
        <f>IF(B165="","",IFERROR(VLOOKUP(B165,'材料マスタ'!$B$5:$L$104,11,FALSE),""))</f>
        <v/>
      </c>
      <c r="F165" s="12">
        <f>IF(OR(B165="",C165=""),"",IFERROR(ROUND(C165*E165,2),""))</f>
        <v/>
      </c>
      <c r="G165" s="14">
        <f>IF(B165="","",IFERROR(IF(VLOOKUP(B165,'材料マスタ'!$B$5:$L$104,11,FALSE)="","材料マスタを確認",IF(C165="","使用量を入力","OK")),"未登録の材料"))</f>
        <v/>
      </c>
    </row>
    <row r="166">
      <c r="A166" s="7" t="n">
        <v>10</v>
      </c>
      <c r="B166" s="8" t="n"/>
      <c r="C166" s="11" t="n"/>
      <c r="D166" s="14">
        <f>IF(B166="","",IFERROR(VLOOKUP(B166,'材料マスタ'!$B$5:$L$104,7,FALSE)&amp;"",""))</f>
        <v/>
      </c>
      <c r="E166" s="13">
        <f>IF(B166="","",IFERROR(VLOOKUP(B166,'材料マスタ'!$B$5:$L$104,11,FALSE),""))</f>
        <v/>
      </c>
      <c r="F166" s="12">
        <f>IF(OR(B166="",C166=""),"",IFERROR(ROUND(C166*E166,2),""))</f>
        <v/>
      </c>
      <c r="G166" s="14">
        <f>IF(B166="","",IFERROR(IF(VLOOKUP(B166,'材料マスタ'!$B$5:$L$104,11,FALSE)="","材料マスタを確認",IF(C166="","使用量を入力","OK")),"未登録の材料"))</f>
        <v/>
      </c>
    </row>
    <row r="167">
      <c r="A167" s="7" t="n">
        <v>11</v>
      </c>
      <c r="B167" s="8" t="n"/>
      <c r="C167" s="11" t="n"/>
      <c r="D167" s="14">
        <f>IF(B167="","",IFERROR(VLOOKUP(B167,'材料マスタ'!$B$5:$L$104,7,FALSE)&amp;"",""))</f>
        <v/>
      </c>
      <c r="E167" s="13">
        <f>IF(B167="","",IFERROR(VLOOKUP(B167,'材料マスタ'!$B$5:$L$104,11,FALSE),""))</f>
        <v/>
      </c>
      <c r="F167" s="12">
        <f>IF(OR(B167="",C167=""),"",IFERROR(ROUND(C167*E167,2),""))</f>
        <v/>
      </c>
      <c r="G167" s="14">
        <f>IF(B167="","",IFERROR(IF(VLOOKUP(B167,'材料マスタ'!$B$5:$L$104,11,FALSE)="","材料マスタを確認",IF(C167="","使用量を入力","OK")),"未登録の材料"))</f>
        <v/>
      </c>
    </row>
    <row r="168">
      <c r="A168" s="7" t="n">
        <v>12</v>
      </c>
      <c r="B168" s="8" t="n"/>
      <c r="C168" s="11" t="n"/>
      <c r="D168" s="14">
        <f>IF(B168="","",IFERROR(VLOOKUP(B168,'材料マスタ'!$B$5:$L$104,7,FALSE)&amp;"",""))</f>
        <v/>
      </c>
      <c r="E168" s="13">
        <f>IF(B168="","",IFERROR(VLOOKUP(B168,'材料マスタ'!$B$5:$L$104,11,FALSE),""))</f>
        <v/>
      </c>
      <c r="F168" s="12">
        <f>IF(OR(B168="",C168=""),"",IFERROR(ROUND(C168*E168,2),""))</f>
        <v/>
      </c>
      <c r="G168" s="14">
        <f>IF(B168="","",IFERROR(IF(VLOOKUP(B168,'材料マスタ'!$B$5:$L$104,11,FALSE)="","材料マスタを確認",IF(C168="","使用量を入力","OK")),"未登録の材料"))</f>
        <v/>
      </c>
    </row>
    <row r="169">
      <c r="A169" s="7" t="n">
        <v>13</v>
      </c>
      <c r="B169" s="8" t="n"/>
      <c r="C169" s="11" t="n"/>
      <c r="D169" s="14">
        <f>IF(B169="","",IFERROR(VLOOKUP(B169,'材料マスタ'!$B$5:$L$104,7,FALSE)&amp;"",""))</f>
        <v/>
      </c>
      <c r="E169" s="13">
        <f>IF(B169="","",IFERROR(VLOOKUP(B169,'材料マスタ'!$B$5:$L$104,11,FALSE),""))</f>
        <v/>
      </c>
      <c r="F169" s="12">
        <f>IF(OR(B169="",C169=""),"",IFERROR(ROUND(C169*E169,2),""))</f>
        <v/>
      </c>
      <c r="G169" s="14">
        <f>IF(B169="","",IFERROR(IF(VLOOKUP(B169,'材料マスタ'!$B$5:$L$104,11,FALSE)="","材料マスタを確認",IF(C169="","使用量を入力","OK")),"未登録の材料"))</f>
        <v/>
      </c>
    </row>
    <row r="170">
      <c r="A170" s="7" t="n">
        <v>14</v>
      </c>
      <c r="B170" s="8" t="n"/>
      <c r="C170" s="11" t="n"/>
      <c r="D170" s="14">
        <f>IF(B170="","",IFERROR(VLOOKUP(B170,'材料マスタ'!$B$5:$L$104,7,FALSE)&amp;"",""))</f>
        <v/>
      </c>
      <c r="E170" s="13">
        <f>IF(B170="","",IFERROR(VLOOKUP(B170,'材料マスタ'!$B$5:$L$104,11,FALSE),""))</f>
        <v/>
      </c>
      <c r="F170" s="12">
        <f>IF(OR(B170="",C170=""),"",IFERROR(ROUND(C170*E170,2),""))</f>
        <v/>
      </c>
      <c r="G170" s="14">
        <f>IF(B170="","",IFERROR(IF(VLOOKUP(B170,'材料マスタ'!$B$5:$L$104,11,FALSE)="","材料マスタを確認",IF(C170="","使用量を入力","OK")),"未登録の材料"))</f>
        <v/>
      </c>
    </row>
    <row r="171">
      <c r="A171" s="7" t="n">
        <v>15</v>
      </c>
      <c r="B171" s="8" t="n"/>
      <c r="C171" s="11" t="n"/>
      <c r="D171" s="14">
        <f>IF(B171="","",IFERROR(VLOOKUP(B171,'材料マスタ'!$B$5:$L$104,7,FALSE)&amp;"",""))</f>
        <v/>
      </c>
      <c r="E171" s="13">
        <f>IF(B171="","",IFERROR(VLOOKUP(B171,'材料マスタ'!$B$5:$L$104,11,FALSE),""))</f>
        <v/>
      </c>
      <c r="F171" s="12">
        <f>IF(OR(B171="",C171=""),"",IFERROR(ROUND(C171*E171,2),""))</f>
        <v/>
      </c>
      <c r="G171" s="14">
        <f>IF(B171="","",IFERROR(IF(VLOOKUP(B171,'材料マスタ'!$B$5:$L$104,11,FALSE)="","材料マスタを確認",IF(C171="","使用量を入力","OK")),"未登録の材料"))</f>
        <v/>
      </c>
    </row>
    <row r="172">
      <c r="B172" s="21" t="inlineStr">
        <is>
          <t>合計原価（税抜・円）</t>
        </is>
      </c>
      <c r="C172" s="22">
        <f>SUM(F157:F171)</f>
        <v/>
      </c>
    </row>
    <row r="173">
      <c r="B173" s="23" t="inlineStr">
        <is>
          <t>目標原価率（適用値）</t>
        </is>
      </c>
      <c r="C173" s="24">
        <f>IF(E155="",'設定'!$C$4,IF(E155&gt;1,E155/100,E155))</f>
        <v/>
      </c>
    </row>
    <row r="174">
      <c r="B174" s="23" t="inlineStr">
        <is>
          <t>売価の税率（適用値）</t>
        </is>
      </c>
      <c r="C174" s="25">
        <f>IF(G155="",'設定'!$C$5,IF(G155&gt;=1,G155/100,G155))</f>
        <v/>
      </c>
    </row>
    <row r="175">
      <c r="B175" s="23" t="inlineStr">
        <is>
          <t>税抜売価（円）</t>
        </is>
      </c>
      <c r="C175" s="22">
        <f>IF(C155="","",IFERROR(ROUND(C155/(1+C174),2),""))</f>
        <v/>
      </c>
    </row>
    <row r="176">
      <c r="B176" s="21" t="inlineStr">
        <is>
          <t>原価率</t>
        </is>
      </c>
      <c r="C176" s="26">
        <f>IFERROR(IF(OR(C175="",C175=0),"",ROUND(C172/C175,4)),"")</f>
        <v/>
      </c>
      <c r="D176" s="7" t="inlineStr">
        <is>
          <t>判定［自動］</t>
        </is>
      </c>
      <c r="E176" s="27">
        <f>IF(C176="",IF(C154="","","売価を入力"),IF(C176&gt;C173,"超過","目標内"))</f>
        <v/>
      </c>
    </row>
    <row r="177">
      <c r="B177" s="23" t="inlineStr">
        <is>
          <t>目標との差（＋は目標超過）</t>
        </is>
      </c>
      <c r="C177" s="28">
        <f>IF(C176="","",ROUND(C176-C173,4))</f>
        <v/>
      </c>
    </row>
    <row r="178" ht="30" customHeight="1">
      <c r="B178" s="21" t="inlineStr">
        <is>
          <t>推奨売価（税込・円／目標原価率から逆算、10円単位で切り上げ）</t>
        </is>
      </c>
      <c r="C178" s="29">
        <f>IFERROR(IF(OR(C172=0,C173=0),"",ROUNDUP(ROUND(C172/C173*(1+C174),2)/10,0)*10),"")</f>
        <v/>
      </c>
    </row>
    <row r="179">
      <c r="A179" s="15" t="inlineStr">
        <is>
          <t>メニュー8</t>
        </is>
      </c>
      <c r="B179" s="16" t="inlineStr">
        <is>
          <t>【入力】メニュー名</t>
        </is>
      </c>
      <c r="C179" s="8" t="n"/>
      <c r="D179" s="17" t="n"/>
      <c r="E179" s="17" t="n"/>
      <c r="F179" s="17" t="n"/>
      <c r="G179" s="18" t="n"/>
    </row>
    <row r="180">
      <c r="B180" s="7" t="inlineStr">
        <is>
          <t>【入力】販売価格（税込・円）</t>
        </is>
      </c>
      <c r="C180" s="9" t="n"/>
      <c r="D180" s="19" t="inlineStr">
        <is>
          <t>【入力】目標原価率（空欄=設定値）</t>
        </is>
      </c>
      <c r="E180" s="10" t="n"/>
      <c r="F180" s="19" t="inlineStr">
        <is>
          <t>【入力】売価の税率（空欄=設定値）</t>
        </is>
      </c>
      <c r="G180" s="10" t="n"/>
    </row>
    <row r="181" ht="32" customHeight="1">
      <c r="A181" s="20" t="inlineStr">
        <is>
          <t>No</t>
        </is>
      </c>
      <c r="B181" s="20" t="inlineStr">
        <is>
          <t>【入力】材料名（リストから選ぶ）</t>
        </is>
      </c>
      <c r="C181" s="20" t="inlineStr">
        <is>
          <t>【入力】使用量</t>
        </is>
      </c>
      <c r="D181" s="20" t="inlineStr">
        <is>
          <t>単位［自動］</t>
        </is>
      </c>
      <c r="E181" s="20" t="inlineStr">
        <is>
          <t>単価（税抜・円/単位）［自動］</t>
        </is>
      </c>
      <c r="F181" s="20" t="inlineStr">
        <is>
          <t>原価（円）［自動］</t>
        </is>
      </c>
      <c r="G181" s="20" t="inlineStr">
        <is>
          <t>チェック［自動］</t>
        </is>
      </c>
    </row>
    <row r="182">
      <c r="A182" s="7" t="n">
        <v>1</v>
      </c>
      <c r="B182" s="8" t="n"/>
      <c r="C182" s="11" t="n"/>
      <c r="D182" s="14">
        <f>IF(B182="","",IFERROR(VLOOKUP(B182,'材料マスタ'!$B$5:$L$104,7,FALSE)&amp;"",""))</f>
        <v/>
      </c>
      <c r="E182" s="13">
        <f>IF(B182="","",IFERROR(VLOOKUP(B182,'材料マスタ'!$B$5:$L$104,11,FALSE),""))</f>
        <v/>
      </c>
      <c r="F182" s="12">
        <f>IF(OR(B182="",C182=""),"",IFERROR(ROUND(C182*E182,2),""))</f>
        <v/>
      </c>
      <c r="G182" s="14">
        <f>IF(B182="","",IFERROR(IF(VLOOKUP(B182,'材料マスタ'!$B$5:$L$104,11,FALSE)="","材料マスタを確認",IF(C182="","使用量を入力","OK")),"未登録の材料"))</f>
        <v/>
      </c>
    </row>
    <row r="183">
      <c r="A183" s="7" t="n">
        <v>2</v>
      </c>
      <c r="B183" s="8" t="n"/>
      <c r="C183" s="11" t="n"/>
      <c r="D183" s="14">
        <f>IF(B183="","",IFERROR(VLOOKUP(B183,'材料マスタ'!$B$5:$L$104,7,FALSE)&amp;"",""))</f>
        <v/>
      </c>
      <c r="E183" s="13">
        <f>IF(B183="","",IFERROR(VLOOKUP(B183,'材料マスタ'!$B$5:$L$104,11,FALSE),""))</f>
        <v/>
      </c>
      <c r="F183" s="12">
        <f>IF(OR(B183="",C183=""),"",IFERROR(ROUND(C183*E183,2),""))</f>
        <v/>
      </c>
      <c r="G183" s="14">
        <f>IF(B183="","",IFERROR(IF(VLOOKUP(B183,'材料マスタ'!$B$5:$L$104,11,FALSE)="","材料マスタを確認",IF(C183="","使用量を入力","OK")),"未登録の材料"))</f>
        <v/>
      </c>
    </row>
    <row r="184">
      <c r="A184" s="7" t="n">
        <v>3</v>
      </c>
      <c r="B184" s="8" t="n"/>
      <c r="C184" s="11" t="n"/>
      <c r="D184" s="14">
        <f>IF(B184="","",IFERROR(VLOOKUP(B184,'材料マスタ'!$B$5:$L$104,7,FALSE)&amp;"",""))</f>
        <v/>
      </c>
      <c r="E184" s="13">
        <f>IF(B184="","",IFERROR(VLOOKUP(B184,'材料マスタ'!$B$5:$L$104,11,FALSE),""))</f>
        <v/>
      </c>
      <c r="F184" s="12">
        <f>IF(OR(B184="",C184=""),"",IFERROR(ROUND(C184*E184,2),""))</f>
        <v/>
      </c>
      <c r="G184" s="14">
        <f>IF(B184="","",IFERROR(IF(VLOOKUP(B184,'材料マスタ'!$B$5:$L$104,11,FALSE)="","材料マスタを確認",IF(C184="","使用量を入力","OK")),"未登録の材料"))</f>
        <v/>
      </c>
    </row>
    <row r="185">
      <c r="A185" s="7" t="n">
        <v>4</v>
      </c>
      <c r="B185" s="8" t="n"/>
      <c r="C185" s="11" t="n"/>
      <c r="D185" s="14">
        <f>IF(B185="","",IFERROR(VLOOKUP(B185,'材料マスタ'!$B$5:$L$104,7,FALSE)&amp;"",""))</f>
        <v/>
      </c>
      <c r="E185" s="13">
        <f>IF(B185="","",IFERROR(VLOOKUP(B185,'材料マスタ'!$B$5:$L$104,11,FALSE),""))</f>
        <v/>
      </c>
      <c r="F185" s="12">
        <f>IF(OR(B185="",C185=""),"",IFERROR(ROUND(C185*E185,2),""))</f>
        <v/>
      </c>
      <c r="G185" s="14">
        <f>IF(B185="","",IFERROR(IF(VLOOKUP(B185,'材料マスタ'!$B$5:$L$104,11,FALSE)="","材料マスタを確認",IF(C185="","使用量を入力","OK")),"未登録の材料"))</f>
        <v/>
      </c>
    </row>
    <row r="186">
      <c r="A186" s="7" t="n">
        <v>5</v>
      </c>
      <c r="B186" s="8" t="n"/>
      <c r="C186" s="11" t="n"/>
      <c r="D186" s="14">
        <f>IF(B186="","",IFERROR(VLOOKUP(B186,'材料マスタ'!$B$5:$L$104,7,FALSE)&amp;"",""))</f>
        <v/>
      </c>
      <c r="E186" s="13">
        <f>IF(B186="","",IFERROR(VLOOKUP(B186,'材料マスタ'!$B$5:$L$104,11,FALSE),""))</f>
        <v/>
      </c>
      <c r="F186" s="12">
        <f>IF(OR(B186="",C186=""),"",IFERROR(ROUND(C186*E186,2),""))</f>
        <v/>
      </c>
      <c r="G186" s="14">
        <f>IF(B186="","",IFERROR(IF(VLOOKUP(B186,'材料マスタ'!$B$5:$L$104,11,FALSE)="","材料マスタを確認",IF(C186="","使用量を入力","OK")),"未登録の材料"))</f>
        <v/>
      </c>
    </row>
    <row r="187">
      <c r="A187" s="7" t="n">
        <v>6</v>
      </c>
      <c r="B187" s="8" t="n"/>
      <c r="C187" s="11" t="n"/>
      <c r="D187" s="14">
        <f>IF(B187="","",IFERROR(VLOOKUP(B187,'材料マスタ'!$B$5:$L$104,7,FALSE)&amp;"",""))</f>
        <v/>
      </c>
      <c r="E187" s="13">
        <f>IF(B187="","",IFERROR(VLOOKUP(B187,'材料マスタ'!$B$5:$L$104,11,FALSE),""))</f>
        <v/>
      </c>
      <c r="F187" s="12">
        <f>IF(OR(B187="",C187=""),"",IFERROR(ROUND(C187*E187,2),""))</f>
        <v/>
      </c>
      <c r="G187" s="14">
        <f>IF(B187="","",IFERROR(IF(VLOOKUP(B187,'材料マスタ'!$B$5:$L$104,11,FALSE)="","材料マスタを確認",IF(C187="","使用量を入力","OK")),"未登録の材料"))</f>
        <v/>
      </c>
    </row>
    <row r="188">
      <c r="A188" s="7" t="n">
        <v>7</v>
      </c>
      <c r="B188" s="8" t="n"/>
      <c r="C188" s="11" t="n"/>
      <c r="D188" s="14">
        <f>IF(B188="","",IFERROR(VLOOKUP(B188,'材料マスタ'!$B$5:$L$104,7,FALSE)&amp;"",""))</f>
        <v/>
      </c>
      <c r="E188" s="13">
        <f>IF(B188="","",IFERROR(VLOOKUP(B188,'材料マスタ'!$B$5:$L$104,11,FALSE),""))</f>
        <v/>
      </c>
      <c r="F188" s="12">
        <f>IF(OR(B188="",C188=""),"",IFERROR(ROUND(C188*E188,2),""))</f>
        <v/>
      </c>
      <c r="G188" s="14">
        <f>IF(B188="","",IFERROR(IF(VLOOKUP(B188,'材料マスタ'!$B$5:$L$104,11,FALSE)="","材料マスタを確認",IF(C188="","使用量を入力","OK")),"未登録の材料"))</f>
        <v/>
      </c>
    </row>
    <row r="189">
      <c r="A189" s="7" t="n">
        <v>8</v>
      </c>
      <c r="B189" s="8" t="n"/>
      <c r="C189" s="11" t="n"/>
      <c r="D189" s="14">
        <f>IF(B189="","",IFERROR(VLOOKUP(B189,'材料マスタ'!$B$5:$L$104,7,FALSE)&amp;"",""))</f>
        <v/>
      </c>
      <c r="E189" s="13">
        <f>IF(B189="","",IFERROR(VLOOKUP(B189,'材料マスタ'!$B$5:$L$104,11,FALSE),""))</f>
        <v/>
      </c>
      <c r="F189" s="12">
        <f>IF(OR(B189="",C189=""),"",IFERROR(ROUND(C189*E189,2),""))</f>
        <v/>
      </c>
      <c r="G189" s="14">
        <f>IF(B189="","",IFERROR(IF(VLOOKUP(B189,'材料マスタ'!$B$5:$L$104,11,FALSE)="","材料マスタを確認",IF(C189="","使用量を入力","OK")),"未登録の材料"))</f>
        <v/>
      </c>
    </row>
    <row r="190">
      <c r="A190" s="7" t="n">
        <v>9</v>
      </c>
      <c r="B190" s="8" t="n"/>
      <c r="C190" s="11" t="n"/>
      <c r="D190" s="14">
        <f>IF(B190="","",IFERROR(VLOOKUP(B190,'材料マスタ'!$B$5:$L$104,7,FALSE)&amp;"",""))</f>
        <v/>
      </c>
      <c r="E190" s="13">
        <f>IF(B190="","",IFERROR(VLOOKUP(B190,'材料マスタ'!$B$5:$L$104,11,FALSE),""))</f>
        <v/>
      </c>
      <c r="F190" s="12">
        <f>IF(OR(B190="",C190=""),"",IFERROR(ROUND(C190*E190,2),""))</f>
        <v/>
      </c>
      <c r="G190" s="14">
        <f>IF(B190="","",IFERROR(IF(VLOOKUP(B190,'材料マスタ'!$B$5:$L$104,11,FALSE)="","材料マスタを確認",IF(C190="","使用量を入力","OK")),"未登録の材料"))</f>
        <v/>
      </c>
    </row>
    <row r="191">
      <c r="A191" s="7" t="n">
        <v>10</v>
      </c>
      <c r="B191" s="8" t="n"/>
      <c r="C191" s="11" t="n"/>
      <c r="D191" s="14">
        <f>IF(B191="","",IFERROR(VLOOKUP(B191,'材料マスタ'!$B$5:$L$104,7,FALSE)&amp;"",""))</f>
        <v/>
      </c>
      <c r="E191" s="13">
        <f>IF(B191="","",IFERROR(VLOOKUP(B191,'材料マスタ'!$B$5:$L$104,11,FALSE),""))</f>
        <v/>
      </c>
      <c r="F191" s="12">
        <f>IF(OR(B191="",C191=""),"",IFERROR(ROUND(C191*E191,2),""))</f>
        <v/>
      </c>
      <c r="G191" s="14">
        <f>IF(B191="","",IFERROR(IF(VLOOKUP(B191,'材料マスタ'!$B$5:$L$104,11,FALSE)="","材料マスタを確認",IF(C191="","使用量を入力","OK")),"未登録の材料"))</f>
        <v/>
      </c>
    </row>
    <row r="192">
      <c r="A192" s="7" t="n">
        <v>11</v>
      </c>
      <c r="B192" s="8" t="n"/>
      <c r="C192" s="11" t="n"/>
      <c r="D192" s="14">
        <f>IF(B192="","",IFERROR(VLOOKUP(B192,'材料マスタ'!$B$5:$L$104,7,FALSE)&amp;"",""))</f>
        <v/>
      </c>
      <c r="E192" s="13">
        <f>IF(B192="","",IFERROR(VLOOKUP(B192,'材料マスタ'!$B$5:$L$104,11,FALSE),""))</f>
        <v/>
      </c>
      <c r="F192" s="12">
        <f>IF(OR(B192="",C192=""),"",IFERROR(ROUND(C192*E192,2),""))</f>
        <v/>
      </c>
      <c r="G192" s="14">
        <f>IF(B192="","",IFERROR(IF(VLOOKUP(B192,'材料マスタ'!$B$5:$L$104,11,FALSE)="","材料マスタを確認",IF(C192="","使用量を入力","OK")),"未登録の材料"))</f>
        <v/>
      </c>
    </row>
    <row r="193">
      <c r="A193" s="7" t="n">
        <v>12</v>
      </c>
      <c r="B193" s="8" t="n"/>
      <c r="C193" s="11" t="n"/>
      <c r="D193" s="14">
        <f>IF(B193="","",IFERROR(VLOOKUP(B193,'材料マスタ'!$B$5:$L$104,7,FALSE)&amp;"",""))</f>
        <v/>
      </c>
      <c r="E193" s="13">
        <f>IF(B193="","",IFERROR(VLOOKUP(B193,'材料マスタ'!$B$5:$L$104,11,FALSE),""))</f>
        <v/>
      </c>
      <c r="F193" s="12">
        <f>IF(OR(B193="",C193=""),"",IFERROR(ROUND(C193*E193,2),""))</f>
        <v/>
      </c>
      <c r="G193" s="14">
        <f>IF(B193="","",IFERROR(IF(VLOOKUP(B193,'材料マスタ'!$B$5:$L$104,11,FALSE)="","材料マスタを確認",IF(C193="","使用量を入力","OK")),"未登録の材料"))</f>
        <v/>
      </c>
    </row>
    <row r="194">
      <c r="A194" s="7" t="n">
        <v>13</v>
      </c>
      <c r="B194" s="8" t="n"/>
      <c r="C194" s="11" t="n"/>
      <c r="D194" s="14">
        <f>IF(B194="","",IFERROR(VLOOKUP(B194,'材料マスタ'!$B$5:$L$104,7,FALSE)&amp;"",""))</f>
        <v/>
      </c>
      <c r="E194" s="13">
        <f>IF(B194="","",IFERROR(VLOOKUP(B194,'材料マスタ'!$B$5:$L$104,11,FALSE),""))</f>
        <v/>
      </c>
      <c r="F194" s="12">
        <f>IF(OR(B194="",C194=""),"",IFERROR(ROUND(C194*E194,2),""))</f>
        <v/>
      </c>
      <c r="G194" s="14">
        <f>IF(B194="","",IFERROR(IF(VLOOKUP(B194,'材料マスタ'!$B$5:$L$104,11,FALSE)="","材料マスタを確認",IF(C194="","使用量を入力","OK")),"未登録の材料"))</f>
        <v/>
      </c>
    </row>
    <row r="195">
      <c r="A195" s="7" t="n">
        <v>14</v>
      </c>
      <c r="B195" s="8" t="n"/>
      <c r="C195" s="11" t="n"/>
      <c r="D195" s="14">
        <f>IF(B195="","",IFERROR(VLOOKUP(B195,'材料マスタ'!$B$5:$L$104,7,FALSE)&amp;"",""))</f>
        <v/>
      </c>
      <c r="E195" s="13">
        <f>IF(B195="","",IFERROR(VLOOKUP(B195,'材料マスタ'!$B$5:$L$104,11,FALSE),""))</f>
        <v/>
      </c>
      <c r="F195" s="12">
        <f>IF(OR(B195="",C195=""),"",IFERROR(ROUND(C195*E195,2),""))</f>
        <v/>
      </c>
      <c r="G195" s="14">
        <f>IF(B195="","",IFERROR(IF(VLOOKUP(B195,'材料マスタ'!$B$5:$L$104,11,FALSE)="","材料マスタを確認",IF(C195="","使用量を入力","OK")),"未登録の材料"))</f>
        <v/>
      </c>
    </row>
    <row r="196">
      <c r="A196" s="7" t="n">
        <v>15</v>
      </c>
      <c r="B196" s="8" t="n"/>
      <c r="C196" s="11" t="n"/>
      <c r="D196" s="14">
        <f>IF(B196="","",IFERROR(VLOOKUP(B196,'材料マスタ'!$B$5:$L$104,7,FALSE)&amp;"",""))</f>
        <v/>
      </c>
      <c r="E196" s="13">
        <f>IF(B196="","",IFERROR(VLOOKUP(B196,'材料マスタ'!$B$5:$L$104,11,FALSE),""))</f>
        <v/>
      </c>
      <c r="F196" s="12">
        <f>IF(OR(B196="",C196=""),"",IFERROR(ROUND(C196*E196,2),""))</f>
        <v/>
      </c>
      <c r="G196" s="14">
        <f>IF(B196="","",IFERROR(IF(VLOOKUP(B196,'材料マスタ'!$B$5:$L$104,11,FALSE)="","材料マスタを確認",IF(C196="","使用量を入力","OK")),"未登録の材料"))</f>
        <v/>
      </c>
    </row>
    <row r="197">
      <c r="B197" s="21" t="inlineStr">
        <is>
          <t>合計原価（税抜・円）</t>
        </is>
      </c>
      <c r="C197" s="22">
        <f>SUM(F182:F196)</f>
        <v/>
      </c>
    </row>
    <row r="198">
      <c r="B198" s="23" t="inlineStr">
        <is>
          <t>目標原価率（適用値）</t>
        </is>
      </c>
      <c r="C198" s="24">
        <f>IF(E180="",'設定'!$C$4,IF(E180&gt;1,E180/100,E180))</f>
        <v/>
      </c>
    </row>
    <row r="199">
      <c r="B199" s="23" t="inlineStr">
        <is>
          <t>売価の税率（適用値）</t>
        </is>
      </c>
      <c r="C199" s="25">
        <f>IF(G180="",'設定'!$C$5,IF(G180&gt;=1,G180/100,G180))</f>
        <v/>
      </c>
    </row>
    <row r="200">
      <c r="B200" s="23" t="inlineStr">
        <is>
          <t>税抜売価（円）</t>
        </is>
      </c>
      <c r="C200" s="22">
        <f>IF(C180="","",IFERROR(ROUND(C180/(1+C199),2),""))</f>
        <v/>
      </c>
    </row>
    <row r="201">
      <c r="B201" s="21" t="inlineStr">
        <is>
          <t>原価率</t>
        </is>
      </c>
      <c r="C201" s="26">
        <f>IFERROR(IF(OR(C200="",C200=0),"",ROUND(C197/C200,4)),"")</f>
        <v/>
      </c>
      <c r="D201" s="7" t="inlineStr">
        <is>
          <t>判定［自動］</t>
        </is>
      </c>
      <c r="E201" s="27">
        <f>IF(C201="",IF(C179="","","売価を入力"),IF(C201&gt;C198,"超過","目標内"))</f>
        <v/>
      </c>
    </row>
    <row r="202">
      <c r="B202" s="23" t="inlineStr">
        <is>
          <t>目標との差（＋は目標超過）</t>
        </is>
      </c>
      <c r="C202" s="28">
        <f>IF(C201="","",ROUND(C201-C198,4))</f>
        <v/>
      </c>
    </row>
    <row r="203" ht="30" customHeight="1">
      <c r="B203" s="21" t="inlineStr">
        <is>
          <t>推奨売価（税込・円／目標原価率から逆算、10円単位で切り上げ）</t>
        </is>
      </c>
      <c r="C203" s="29">
        <f>IFERROR(IF(OR(C197=0,C198=0),"",ROUNDUP(ROUND(C197/C198*(1+C199),2)/10,0)*10),"")</f>
        <v/>
      </c>
    </row>
    <row r="204">
      <c r="A204" s="15" t="inlineStr">
        <is>
          <t>メニュー9</t>
        </is>
      </c>
      <c r="B204" s="16" t="inlineStr">
        <is>
          <t>【入力】メニュー名</t>
        </is>
      </c>
      <c r="C204" s="8" t="n"/>
      <c r="D204" s="17" t="n"/>
      <c r="E204" s="17" t="n"/>
      <c r="F204" s="17" t="n"/>
      <c r="G204" s="18" t="n"/>
    </row>
    <row r="205">
      <c r="B205" s="7" t="inlineStr">
        <is>
          <t>【入力】販売価格（税込・円）</t>
        </is>
      </c>
      <c r="C205" s="9" t="n"/>
      <c r="D205" s="19" t="inlineStr">
        <is>
          <t>【入力】目標原価率（空欄=設定値）</t>
        </is>
      </c>
      <c r="E205" s="10" t="n"/>
      <c r="F205" s="19" t="inlineStr">
        <is>
          <t>【入力】売価の税率（空欄=設定値）</t>
        </is>
      </c>
      <c r="G205" s="10" t="n"/>
    </row>
    <row r="206" ht="32" customHeight="1">
      <c r="A206" s="20" t="inlineStr">
        <is>
          <t>No</t>
        </is>
      </c>
      <c r="B206" s="20" t="inlineStr">
        <is>
          <t>【入力】材料名（リストから選ぶ）</t>
        </is>
      </c>
      <c r="C206" s="20" t="inlineStr">
        <is>
          <t>【入力】使用量</t>
        </is>
      </c>
      <c r="D206" s="20" t="inlineStr">
        <is>
          <t>単位［自動］</t>
        </is>
      </c>
      <c r="E206" s="20" t="inlineStr">
        <is>
          <t>単価（税抜・円/単位）［自動］</t>
        </is>
      </c>
      <c r="F206" s="20" t="inlineStr">
        <is>
          <t>原価（円）［自動］</t>
        </is>
      </c>
      <c r="G206" s="20" t="inlineStr">
        <is>
          <t>チェック［自動］</t>
        </is>
      </c>
    </row>
    <row r="207">
      <c r="A207" s="7" t="n">
        <v>1</v>
      </c>
      <c r="B207" s="8" t="n"/>
      <c r="C207" s="11" t="n"/>
      <c r="D207" s="14">
        <f>IF(B207="","",IFERROR(VLOOKUP(B207,'材料マスタ'!$B$5:$L$104,7,FALSE)&amp;"",""))</f>
        <v/>
      </c>
      <c r="E207" s="13">
        <f>IF(B207="","",IFERROR(VLOOKUP(B207,'材料マスタ'!$B$5:$L$104,11,FALSE),""))</f>
        <v/>
      </c>
      <c r="F207" s="12">
        <f>IF(OR(B207="",C207=""),"",IFERROR(ROUND(C207*E207,2),""))</f>
        <v/>
      </c>
      <c r="G207" s="14">
        <f>IF(B207="","",IFERROR(IF(VLOOKUP(B207,'材料マスタ'!$B$5:$L$104,11,FALSE)="","材料マスタを確認",IF(C207="","使用量を入力","OK")),"未登録の材料"))</f>
        <v/>
      </c>
    </row>
    <row r="208">
      <c r="A208" s="7" t="n">
        <v>2</v>
      </c>
      <c r="B208" s="8" t="n"/>
      <c r="C208" s="11" t="n"/>
      <c r="D208" s="14">
        <f>IF(B208="","",IFERROR(VLOOKUP(B208,'材料マスタ'!$B$5:$L$104,7,FALSE)&amp;"",""))</f>
        <v/>
      </c>
      <c r="E208" s="13">
        <f>IF(B208="","",IFERROR(VLOOKUP(B208,'材料マスタ'!$B$5:$L$104,11,FALSE),""))</f>
        <v/>
      </c>
      <c r="F208" s="12">
        <f>IF(OR(B208="",C208=""),"",IFERROR(ROUND(C208*E208,2),""))</f>
        <v/>
      </c>
      <c r="G208" s="14">
        <f>IF(B208="","",IFERROR(IF(VLOOKUP(B208,'材料マスタ'!$B$5:$L$104,11,FALSE)="","材料マスタを確認",IF(C208="","使用量を入力","OK")),"未登録の材料"))</f>
        <v/>
      </c>
    </row>
    <row r="209">
      <c r="A209" s="7" t="n">
        <v>3</v>
      </c>
      <c r="B209" s="8" t="n"/>
      <c r="C209" s="11" t="n"/>
      <c r="D209" s="14">
        <f>IF(B209="","",IFERROR(VLOOKUP(B209,'材料マスタ'!$B$5:$L$104,7,FALSE)&amp;"",""))</f>
        <v/>
      </c>
      <c r="E209" s="13">
        <f>IF(B209="","",IFERROR(VLOOKUP(B209,'材料マスタ'!$B$5:$L$104,11,FALSE),""))</f>
        <v/>
      </c>
      <c r="F209" s="12">
        <f>IF(OR(B209="",C209=""),"",IFERROR(ROUND(C209*E209,2),""))</f>
        <v/>
      </c>
      <c r="G209" s="14">
        <f>IF(B209="","",IFERROR(IF(VLOOKUP(B209,'材料マスタ'!$B$5:$L$104,11,FALSE)="","材料マスタを確認",IF(C209="","使用量を入力","OK")),"未登録の材料"))</f>
        <v/>
      </c>
    </row>
    <row r="210">
      <c r="A210" s="7" t="n">
        <v>4</v>
      </c>
      <c r="B210" s="8" t="n"/>
      <c r="C210" s="11" t="n"/>
      <c r="D210" s="14">
        <f>IF(B210="","",IFERROR(VLOOKUP(B210,'材料マスタ'!$B$5:$L$104,7,FALSE)&amp;"",""))</f>
        <v/>
      </c>
      <c r="E210" s="13">
        <f>IF(B210="","",IFERROR(VLOOKUP(B210,'材料マスタ'!$B$5:$L$104,11,FALSE),""))</f>
        <v/>
      </c>
      <c r="F210" s="12">
        <f>IF(OR(B210="",C210=""),"",IFERROR(ROUND(C210*E210,2),""))</f>
        <v/>
      </c>
      <c r="G210" s="14">
        <f>IF(B210="","",IFERROR(IF(VLOOKUP(B210,'材料マスタ'!$B$5:$L$104,11,FALSE)="","材料マスタを確認",IF(C210="","使用量を入力","OK")),"未登録の材料"))</f>
        <v/>
      </c>
    </row>
    <row r="211">
      <c r="A211" s="7" t="n">
        <v>5</v>
      </c>
      <c r="B211" s="8" t="n"/>
      <c r="C211" s="11" t="n"/>
      <c r="D211" s="14">
        <f>IF(B211="","",IFERROR(VLOOKUP(B211,'材料マスタ'!$B$5:$L$104,7,FALSE)&amp;"",""))</f>
        <v/>
      </c>
      <c r="E211" s="13">
        <f>IF(B211="","",IFERROR(VLOOKUP(B211,'材料マスタ'!$B$5:$L$104,11,FALSE),""))</f>
        <v/>
      </c>
      <c r="F211" s="12">
        <f>IF(OR(B211="",C211=""),"",IFERROR(ROUND(C211*E211,2),""))</f>
        <v/>
      </c>
      <c r="G211" s="14">
        <f>IF(B211="","",IFERROR(IF(VLOOKUP(B211,'材料マスタ'!$B$5:$L$104,11,FALSE)="","材料マスタを確認",IF(C211="","使用量を入力","OK")),"未登録の材料"))</f>
        <v/>
      </c>
    </row>
    <row r="212">
      <c r="A212" s="7" t="n">
        <v>6</v>
      </c>
      <c r="B212" s="8" t="n"/>
      <c r="C212" s="11" t="n"/>
      <c r="D212" s="14">
        <f>IF(B212="","",IFERROR(VLOOKUP(B212,'材料マスタ'!$B$5:$L$104,7,FALSE)&amp;"",""))</f>
        <v/>
      </c>
      <c r="E212" s="13">
        <f>IF(B212="","",IFERROR(VLOOKUP(B212,'材料マスタ'!$B$5:$L$104,11,FALSE),""))</f>
        <v/>
      </c>
      <c r="F212" s="12">
        <f>IF(OR(B212="",C212=""),"",IFERROR(ROUND(C212*E212,2),""))</f>
        <v/>
      </c>
      <c r="G212" s="14">
        <f>IF(B212="","",IFERROR(IF(VLOOKUP(B212,'材料マスタ'!$B$5:$L$104,11,FALSE)="","材料マスタを確認",IF(C212="","使用量を入力","OK")),"未登録の材料"))</f>
        <v/>
      </c>
    </row>
    <row r="213">
      <c r="A213" s="7" t="n">
        <v>7</v>
      </c>
      <c r="B213" s="8" t="n"/>
      <c r="C213" s="11" t="n"/>
      <c r="D213" s="14">
        <f>IF(B213="","",IFERROR(VLOOKUP(B213,'材料マスタ'!$B$5:$L$104,7,FALSE)&amp;"",""))</f>
        <v/>
      </c>
      <c r="E213" s="13">
        <f>IF(B213="","",IFERROR(VLOOKUP(B213,'材料マスタ'!$B$5:$L$104,11,FALSE),""))</f>
        <v/>
      </c>
      <c r="F213" s="12">
        <f>IF(OR(B213="",C213=""),"",IFERROR(ROUND(C213*E213,2),""))</f>
        <v/>
      </c>
      <c r="G213" s="14">
        <f>IF(B213="","",IFERROR(IF(VLOOKUP(B213,'材料マスタ'!$B$5:$L$104,11,FALSE)="","材料マスタを確認",IF(C213="","使用量を入力","OK")),"未登録の材料"))</f>
        <v/>
      </c>
    </row>
    <row r="214">
      <c r="A214" s="7" t="n">
        <v>8</v>
      </c>
      <c r="B214" s="8" t="n"/>
      <c r="C214" s="11" t="n"/>
      <c r="D214" s="14">
        <f>IF(B214="","",IFERROR(VLOOKUP(B214,'材料マスタ'!$B$5:$L$104,7,FALSE)&amp;"",""))</f>
        <v/>
      </c>
      <c r="E214" s="13">
        <f>IF(B214="","",IFERROR(VLOOKUP(B214,'材料マスタ'!$B$5:$L$104,11,FALSE),""))</f>
        <v/>
      </c>
      <c r="F214" s="12">
        <f>IF(OR(B214="",C214=""),"",IFERROR(ROUND(C214*E214,2),""))</f>
        <v/>
      </c>
      <c r="G214" s="14">
        <f>IF(B214="","",IFERROR(IF(VLOOKUP(B214,'材料マスタ'!$B$5:$L$104,11,FALSE)="","材料マスタを確認",IF(C214="","使用量を入力","OK")),"未登録の材料"))</f>
        <v/>
      </c>
    </row>
    <row r="215">
      <c r="A215" s="7" t="n">
        <v>9</v>
      </c>
      <c r="B215" s="8" t="n"/>
      <c r="C215" s="11" t="n"/>
      <c r="D215" s="14">
        <f>IF(B215="","",IFERROR(VLOOKUP(B215,'材料マスタ'!$B$5:$L$104,7,FALSE)&amp;"",""))</f>
        <v/>
      </c>
      <c r="E215" s="13">
        <f>IF(B215="","",IFERROR(VLOOKUP(B215,'材料マスタ'!$B$5:$L$104,11,FALSE),""))</f>
        <v/>
      </c>
      <c r="F215" s="12">
        <f>IF(OR(B215="",C215=""),"",IFERROR(ROUND(C215*E215,2),""))</f>
        <v/>
      </c>
      <c r="G215" s="14">
        <f>IF(B215="","",IFERROR(IF(VLOOKUP(B215,'材料マスタ'!$B$5:$L$104,11,FALSE)="","材料マスタを確認",IF(C215="","使用量を入力","OK")),"未登録の材料"))</f>
        <v/>
      </c>
    </row>
    <row r="216">
      <c r="A216" s="7" t="n">
        <v>10</v>
      </c>
      <c r="B216" s="8" t="n"/>
      <c r="C216" s="11" t="n"/>
      <c r="D216" s="14">
        <f>IF(B216="","",IFERROR(VLOOKUP(B216,'材料マスタ'!$B$5:$L$104,7,FALSE)&amp;"",""))</f>
        <v/>
      </c>
      <c r="E216" s="13">
        <f>IF(B216="","",IFERROR(VLOOKUP(B216,'材料マスタ'!$B$5:$L$104,11,FALSE),""))</f>
        <v/>
      </c>
      <c r="F216" s="12">
        <f>IF(OR(B216="",C216=""),"",IFERROR(ROUND(C216*E216,2),""))</f>
        <v/>
      </c>
      <c r="G216" s="14">
        <f>IF(B216="","",IFERROR(IF(VLOOKUP(B216,'材料マスタ'!$B$5:$L$104,11,FALSE)="","材料マスタを確認",IF(C216="","使用量を入力","OK")),"未登録の材料"))</f>
        <v/>
      </c>
    </row>
    <row r="217">
      <c r="A217" s="7" t="n">
        <v>11</v>
      </c>
      <c r="B217" s="8" t="n"/>
      <c r="C217" s="11" t="n"/>
      <c r="D217" s="14">
        <f>IF(B217="","",IFERROR(VLOOKUP(B217,'材料マスタ'!$B$5:$L$104,7,FALSE)&amp;"",""))</f>
        <v/>
      </c>
      <c r="E217" s="13">
        <f>IF(B217="","",IFERROR(VLOOKUP(B217,'材料マスタ'!$B$5:$L$104,11,FALSE),""))</f>
        <v/>
      </c>
      <c r="F217" s="12">
        <f>IF(OR(B217="",C217=""),"",IFERROR(ROUND(C217*E217,2),""))</f>
        <v/>
      </c>
      <c r="G217" s="14">
        <f>IF(B217="","",IFERROR(IF(VLOOKUP(B217,'材料マスタ'!$B$5:$L$104,11,FALSE)="","材料マスタを確認",IF(C217="","使用量を入力","OK")),"未登録の材料"))</f>
        <v/>
      </c>
    </row>
    <row r="218">
      <c r="A218" s="7" t="n">
        <v>12</v>
      </c>
      <c r="B218" s="8" t="n"/>
      <c r="C218" s="11" t="n"/>
      <c r="D218" s="14">
        <f>IF(B218="","",IFERROR(VLOOKUP(B218,'材料マスタ'!$B$5:$L$104,7,FALSE)&amp;"",""))</f>
        <v/>
      </c>
      <c r="E218" s="13">
        <f>IF(B218="","",IFERROR(VLOOKUP(B218,'材料マスタ'!$B$5:$L$104,11,FALSE),""))</f>
        <v/>
      </c>
      <c r="F218" s="12">
        <f>IF(OR(B218="",C218=""),"",IFERROR(ROUND(C218*E218,2),""))</f>
        <v/>
      </c>
      <c r="G218" s="14">
        <f>IF(B218="","",IFERROR(IF(VLOOKUP(B218,'材料マスタ'!$B$5:$L$104,11,FALSE)="","材料マスタを確認",IF(C218="","使用量を入力","OK")),"未登録の材料"))</f>
        <v/>
      </c>
    </row>
    <row r="219">
      <c r="A219" s="7" t="n">
        <v>13</v>
      </c>
      <c r="B219" s="8" t="n"/>
      <c r="C219" s="11" t="n"/>
      <c r="D219" s="14">
        <f>IF(B219="","",IFERROR(VLOOKUP(B219,'材料マスタ'!$B$5:$L$104,7,FALSE)&amp;"",""))</f>
        <v/>
      </c>
      <c r="E219" s="13">
        <f>IF(B219="","",IFERROR(VLOOKUP(B219,'材料マスタ'!$B$5:$L$104,11,FALSE),""))</f>
        <v/>
      </c>
      <c r="F219" s="12">
        <f>IF(OR(B219="",C219=""),"",IFERROR(ROUND(C219*E219,2),""))</f>
        <v/>
      </c>
      <c r="G219" s="14">
        <f>IF(B219="","",IFERROR(IF(VLOOKUP(B219,'材料マスタ'!$B$5:$L$104,11,FALSE)="","材料マスタを確認",IF(C219="","使用量を入力","OK")),"未登録の材料"))</f>
        <v/>
      </c>
    </row>
    <row r="220">
      <c r="A220" s="7" t="n">
        <v>14</v>
      </c>
      <c r="B220" s="8" t="n"/>
      <c r="C220" s="11" t="n"/>
      <c r="D220" s="14">
        <f>IF(B220="","",IFERROR(VLOOKUP(B220,'材料マスタ'!$B$5:$L$104,7,FALSE)&amp;"",""))</f>
        <v/>
      </c>
      <c r="E220" s="13">
        <f>IF(B220="","",IFERROR(VLOOKUP(B220,'材料マスタ'!$B$5:$L$104,11,FALSE),""))</f>
        <v/>
      </c>
      <c r="F220" s="12">
        <f>IF(OR(B220="",C220=""),"",IFERROR(ROUND(C220*E220,2),""))</f>
        <v/>
      </c>
      <c r="G220" s="14">
        <f>IF(B220="","",IFERROR(IF(VLOOKUP(B220,'材料マスタ'!$B$5:$L$104,11,FALSE)="","材料マスタを確認",IF(C220="","使用量を入力","OK")),"未登録の材料"))</f>
        <v/>
      </c>
    </row>
    <row r="221">
      <c r="A221" s="7" t="n">
        <v>15</v>
      </c>
      <c r="B221" s="8" t="n"/>
      <c r="C221" s="11" t="n"/>
      <c r="D221" s="14">
        <f>IF(B221="","",IFERROR(VLOOKUP(B221,'材料マスタ'!$B$5:$L$104,7,FALSE)&amp;"",""))</f>
        <v/>
      </c>
      <c r="E221" s="13">
        <f>IF(B221="","",IFERROR(VLOOKUP(B221,'材料マスタ'!$B$5:$L$104,11,FALSE),""))</f>
        <v/>
      </c>
      <c r="F221" s="12">
        <f>IF(OR(B221="",C221=""),"",IFERROR(ROUND(C221*E221,2),""))</f>
        <v/>
      </c>
      <c r="G221" s="14">
        <f>IF(B221="","",IFERROR(IF(VLOOKUP(B221,'材料マスタ'!$B$5:$L$104,11,FALSE)="","材料マスタを確認",IF(C221="","使用量を入力","OK")),"未登録の材料"))</f>
        <v/>
      </c>
    </row>
    <row r="222">
      <c r="B222" s="21" t="inlineStr">
        <is>
          <t>合計原価（税抜・円）</t>
        </is>
      </c>
      <c r="C222" s="22">
        <f>SUM(F207:F221)</f>
        <v/>
      </c>
    </row>
    <row r="223">
      <c r="B223" s="23" t="inlineStr">
        <is>
          <t>目標原価率（適用値）</t>
        </is>
      </c>
      <c r="C223" s="24">
        <f>IF(E205="",'設定'!$C$4,IF(E205&gt;1,E205/100,E205))</f>
        <v/>
      </c>
    </row>
    <row r="224">
      <c r="B224" s="23" t="inlineStr">
        <is>
          <t>売価の税率（適用値）</t>
        </is>
      </c>
      <c r="C224" s="25">
        <f>IF(G205="",'設定'!$C$5,IF(G205&gt;=1,G205/100,G205))</f>
        <v/>
      </c>
    </row>
    <row r="225">
      <c r="B225" s="23" t="inlineStr">
        <is>
          <t>税抜売価（円）</t>
        </is>
      </c>
      <c r="C225" s="22">
        <f>IF(C205="","",IFERROR(ROUND(C205/(1+C224),2),""))</f>
        <v/>
      </c>
    </row>
    <row r="226">
      <c r="B226" s="21" t="inlineStr">
        <is>
          <t>原価率</t>
        </is>
      </c>
      <c r="C226" s="26">
        <f>IFERROR(IF(OR(C225="",C225=0),"",ROUND(C222/C225,4)),"")</f>
        <v/>
      </c>
      <c r="D226" s="7" t="inlineStr">
        <is>
          <t>判定［自動］</t>
        </is>
      </c>
      <c r="E226" s="27">
        <f>IF(C226="",IF(C204="","","売価を入力"),IF(C226&gt;C223,"超過","目標内"))</f>
        <v/>
      </c>
    </row>
    <row r="227">
      <c r="B227" s="23" t="inlineStr">
        <is>
          <t>目標との差（＋は目標超過）</t>
        </is>
      </c>
      <c r="C227" s="28">
        <f>IF(C226="","",ROUND(C226-C223,4))</f>
        <v/>
      </c>
    </row>
    <row r="228" ht="30" customHeight="1">
      <c r="B228" s="21" t="inlineStr">
        <is>
          <t>推奨売価（税込・円／目標原価率から逆算、10円単位で切り上げ）</t>
        </is>
      </c>
      <c r="C228" s="29">
        <f>IFERROR(IF(OR(C222=0,C223=0),"",ROUNDUP(ROUND(C222/C223*(1+C224),2)/10,0)*10),"")</f>
        <v/>
      </c>
    </row>
    <row r="229">
      <c r="A229" s="15" t="inlineStr">
        <is>
          <t>メニュー10</t>
        </is>
      </c>
      <c r="B229" s="16" t="inlineStr">
        <is>
          <t>【入力】メニュー名</t>
        </is>
      </c>
      <c r="C229" s="8" t="n"/>
      <c r="D229" s="17" t="n"/>
      <c r="E229" s="17" t="n"/>
      <c r="F229" s="17" t="n"/>
      <c r="G229" s="18" t="n"/>
    </row>
    <row r="230">
      <c r="B230" s="7" t="inlineStr">
        <is>
          <t>【入力】販売価格（税込・円）</t>
        </is>
      </c>
      <c r="C230" s="9" t="n"/>
      <c r="D230" s="19" t="inlineStr">
        <is>
          <t>【入力】目標原価率（空欄=設定値）</t>
        </is>
      </c>
      <c r="E230" s="10" t="n"/>
      <c r="F230" s="19" t="inlineStr">
        <is>
          <t>【入力】売価の税率（空欄=設定値）</t>
        </is>
      </c>
      <c r="G230" s="10" t="n"/>
    </row>
    <row r="231" ht="32" customHeight="1">
      <c r="A231" s="20" t="inlineStr">
        <is>
          <t>No</t>
        </is>
      </c>
      <c r="B231" s="20" t="inlineStr">
        <is>
          <t>【入力】材料名（リストから選ぶ）</t>
        </is>
      </c>
      <c r="C231" s="20" t="inlineStr">
        <is>
          <t>【入力】使用量</t>
        </is>
      </c>
      <c r="D231" s="20" t="inlineStr">
        <is>
          <t>単位［自動］</t>
        </is>
      </c>
      <c r="E231" s="20" t="inlineStr">
        <is>
          <t>単価（税抜・円/単位）［自動］</t>
        </is>
      </c>
      <c r="F231" s="20" t="inlineStr">
        <is>
          <t>原価（円）［自動］</t>
        </is>
      </c>
      <c r="G231" s="20" t="inlineStr">
        <is>
          <t>チェック［自動］</t>
        </is>
      </c>
    </row>
    <row r="232">
      <c r="A232" s="7" t="n">
        <v>1</v>
      </c>
      <c r="B232" s="8" t="n"/>
      <c r="C232" s="11" t="n"/>
      <c r="D232" s="14">
        <f>IF(B232="","",IFERROR(VLOOKUP(B232,'材料マスタ'!$B$5:$L$104,7,FALSE)&amp;"",""))</f>
        <v/>
      </c>
      <c r="E232" s="13">
        <f>IF(B232="","",IFERROR(VLOOKUP(B232,'材料マスタ'!$B$5:$L$104,11,FALSE),""))</f>
        <v/>
      </c>
      <c r="F232" s="12">
        <f>IF(OR(B232="",C232=""),"",IFERROR(ROUND(C232*E232,2),""))</f>
        <v/>
      </c>
      <c r="G232" s="14">
        <f>IF(B232="","",IFERROR(IF(VLOOKUP(B232,'材料マスタ'!$B$5:$L$104,11,FALSE)="","材料マスタを確認",IF(C232="","使用量を入力","OK")),"未登録の材料"))</f>
        <v/>
      </c>
    </row>
    <row r="233">
      <c r="A233" s="7" t="n">
        <v>2</v>
      </c>
      <c r="B233" s="8" t="n"/>
      <c r="C233" s="11" t="n"/>
      <c r="D233" s="14">
        <f>IF(B233="","",IFERROR(VLOOKUP(B233,'材料マスタ'!$B$5:$L$104,7,FALSE)&amp;"",""))</f>
        <v/>
      </c>
      <c r="E233" s="13">
        <f>IF(B233="","",IFERROR(VLOOKUP(B233,'材料マスタ'!$B$5:$L$104,11,FALSE),""))</f>
        <v/>
      </c>
      <c r="F233" s="12">
        <f>IF(OR(B233="",C233=""),"",IFERROR(ROUND(C233*E233,2),""))</f>
        <v/>
      </c>
      <c r="G233" s="14">
        <f>IF(B233="","",IFERROR(IF(VLOOKUP(B233,'材料マスタ'!$B$5:$L$104,11,FALSE)="","材料マスタを確認",IF(C233="","使用量を入力","OK")),"未登録の材料"))</f>
        <v/>
      </c>
    </row>
    <row r="234">
      <c r="A234" s="7" t="n">
        <v>3</v>
      </c>
      <c r="B234" s="8" t="n"/>
      <c r="C234" s="11" t="n"/>
      <c r="D234" s="14">
        <f>IF(B234="","",IFERROR(VLOOKUP(B234,'材料マスタ'!$B$5:$L$104,7,FALSE)&amp;"",""))</f>
        <v/>
      </c>
      <c r="E234" s="13">
        <f>IF(B234="","",IFERROR(VLOOKUP(B234,'材料マスタ'!$B$5:$L$104,11,FALSE),""))</f>
        <v/>
      </c>
      <c r="F234" s="12">
        <f>IF(OR(B234="",C234=""),"",IFERROR(ROUND(C234*E234,2),""))</f>
        <v/>
      </c>
      <c r="G234" s="14">
        <f>IF(B234="","",IFERROR(IF(VLOOKUP(B234,'材料マスタ'!$B$5:$L$104,11,FALSE)="","材料マスタを確認",IF(C234="","使用量を入力","OK")),"未登録の材料"))</f>
        <v/>
      </c>
    </row>
    <row r="235">
      <c r="A235" s="7" t="n">
        <v>4</v>
      </c>
      <c r="B235" s="8" t="n"/>
      <c r="C235" s="11" t="n"/>
      <c r="D235" s="14">
        <f>IF(B235="","",IFERROR(VLOOKUP(B235,'材料マスタ'!$B$5:$L$104,7,FALSE)&amp;"",""))</f>
        <v/>
      </c>
      <c r="E235" s="13">
        <f>IF(B235="","",IFERROR(VLOOKUP(B235,'材料マスタ'!$B$5:$L$104,11,FALSE),""))</f>
        <v/>
      </c>
      <c r="F235" s="12">
        <f>IF(OR(B235="",C235=""),"",IFERROR(ROUND(C235*E235,2),""))</f>
        <v/>
      </c>
      <c r="G235" s="14">
        <f>IF(B235="","",IFERROR(IF(VLOOKUP(B235,'材料マスタ'!$B$5:$L$104,11,FALSE)="","材料マスタを確認",IF(C235="","使用量を入力","OK")),"未登録の材料"))</f>
        <v/>
      </c>
    </row>
    <row r="236">
      <c r="A236" s="7" t="n">
        <v>5</v>
      </c>
      <c r="B236" s="8" t="n"/>
      <c r="C236" s="11" t="n"/>
      <c r="D236" s="14">
        <f>IF(B236="","",IFERROR(VLOOKUP(B236,'材料マスタ'!$B$5:$L$104,7,FALSE)&amp;"",""))</f>
        <v/>
      </c>
      <c r="E236" s="13">
        <f>IF(B236="","",IFERROR(VLOOKUP(B236,'材料マスタ'!$B$5:$L$104,11,FALSE),""))</f>
        <v/>
      </c>
      <c r="F236" s="12">
        <f>IF(OR(B236="",C236=""),"",IFERROR(ROUND(C236*E236,2),""))</f>
        <v/>
      </c>
      <c r="G236" s="14">
        <f>IF(B236="","",IFERROR(IF(VLOOKUP(B236,'材料マスタ'!$B$5:$L$104,11,FALSE)="","材料マスタを確認",IF(C236="","使用量を入力","OK")),"未登録の材料"))</f>
        <v/>
      </c>
    </row>
    <row r="237">
      <c r="A237" s="7" t="n">
        <v>6</v>
      </c>
      <c r="B237" s="8" t="n"/>
      <c r="C237" s="11" t="n"/>
      <c r="D237" s="14">
        <f>IF(B237="","",IFERROR(VLOOKUP(B237,'材料マスタ'!$B$5:$L$104,7,FALSE)&amp;"",""))</f>
        <v/>
      </c>
      <c r="E237" s="13">
        <f>IF(B237="","",IFERROR(VLOOKUP(B237,'材料マスタ'!$B$5:$L$104,11,FALSE),""))</f>
        <v/>
      </c>
      <c r="F237" s="12">
        <f>IF(OR(B237="",C237=""),"",IFERROR(ROUND(C237*E237,2),""))</f>
        <v/>
      </c>
      <c r="G237" s="14">
        <f>IF(B237="","",IFERROR(IF(VLOOKUP(B237,'材料マスタ'!$B$5:$L$104,11,FALSE)="","材料マスタを確認",IF(C237="","使用量を入力","OK")),"未登録の材料"))</f>
        <v/>
      </c>
    </row>
    <row r="238">
      <c r="A238" s="7" t="n">
        <v>7</v>
      </c>
      <c r="B238" s="8" t="n"/>
      <c r="C238" s="11" t="n"/>
      <c r="D238" s="14">
        <f>IF(B238="","",IFERROR(VLOOKUP(B238,'材料マスタ'!$B$5:$L$104,7,FALSE)&amp;"",""))</f>
        <v/>
      </c>
      <c r="E238" s="13">
        <f>IF(B238="","",IFERROR(VLOOKUP(B238,'材料マスタ'!$B$5:$L$104,11,FALSE),""))</f>
        <v/>
      </c>
      <c r="F238" s="12">
        <f>IF(OR(B238="",C238=""),"",IFERROR(ROUND(C238*E238,2),""))</f>
        <v/>
      </c>
      <c r="G238" s="14">
        <f>IF(B238="","",IFERROR(IF(VLOOKUP(B238,'材料マスタ'!$B$5:$L$104,11,FALSE)="","材料マスタを確認",IF(C238="","使用量を入力","OK")),"未登録の材料"))</f>
        <v/>
      </c>
    </row>
    <row r="239">
      <c r="A239" s="7" t="n">
        <v>8</v>
      </c>
      <c r="B239" s="8" t="n"/>
      <c r="C239" s="11" t="n"/>
      <c r="D239" s="14">
        <f>IF(B239="","",IFERROR(VLOOKUP(B239,'材料マスタ'!$B$5:$L$104,7,FALSE)&amp;"",""))</f>
        <v/>
      </c>
      <c r="E239" s="13">
        <f>IF(B239="","",IFERROR(VLOOKUP(B239,'材料マスタ'!$B$5:$L$104,11,FALSE),""))</f>
        <v/>
      </c>
      <c r="F239" s="12">
        <f>IF(OR(B239="",C239=""),"",IFERROR(ROUND(C239*E239,2),""))</f>
        <v/>
      </c>
      <c r="G239" s="14">
        <f>IF(B239="","",IFERROR(IF(VLOOKUP(B239,'材料マスタ'!$B$5:$L$104,11,FALSE)="","材料マスタを確認",IF(C239="","使用量を入力","OK")),"未登録の材料"))</f>
        <v/>
      </c>
    </row>
    <row r="240">
      <c r="A240" s="7" t="n">
        <v>9</v>
      </c>
      <c r="B240" s="8" t="n"/>
      <c r="C240" s="11" t="n"/>
      <c r="D240" s="14">
        <f>IF(B240="","",IFERROR(VLOOKUP(B240,'材料マスタ'!$B$5:$L$104,7,FALSE)&amp;"",""))</f>
        <v/>
      </c>
      <c r="E240" s="13">
        <f>IF(B240="","",IFERROR(VLOOKUP(B240,'材料マスタ'!$B$5:$L$104,11,FALSE),""))</f>
        <v/>
      </c>
      <c r="F240" s="12">
        <f>IF(OR(B240="",C240=""),"",IFERROR(ROUND(C240*E240,2),""))</f>
        <v/>
      </c>
      <c r="G240" s="14">
        <f>IF(B240="","",IFERROR(IF(VLOOKUP(B240,'材料マスタ'!$B$5:$L$104,11,FALSE)="","材料マスタを確認",IF(C240="","使用量を入力","OK")),"未登録の材料"))</f>
        <v/>
      </c>
    </row>
    <row r="241">
      <c r="A241" s="7" t="n">
        <v>10</v>
      </c>
      <c r="B241" s="8" t="n"/>
      <c r="C241" s="11" t="n"/>
      <c r="D241" s="14">
        <f>IF(B241="","",IFERROR(VLOOKUP(B241,'材料マスタ'!$B$5:$L$104,7,FALSE)&amp;"",""))</f>
        <v/>
      </c>
      <c r="E241" s="13">
        <f>IF(B241="","",IFERROR(VLOOKUP(B241,'材料マスタ'!$B$5:$L$104,11,FALSE),""))</f>
        <v/>
      </c>
      <c r="F241" s="12">
        <f>IF(OR(B241="",C241=""),"",IFERROR(ROUND(C241*E241,2),""))</f>
        <v/>
      </c>
      <c r="G241" s="14">
        <f>IF(B241="","",IFERROR(IF(VLOOKUP(B241,'材料マスタ'!$B$5:$L$104,11,FALSE)="","材料マスタを確認",IF(C241="","使用量を入力","OK")),"未登録の材料"))</f>
        <v/>
      </c>
    </row>
    <row r="242">
      <c r="A242" s="7" t="n">
        <v>11</v>
      </c>
      <c r="B242" s="8" t="n"/>
      <c r="C242" s="11" t="n"/>
      <c r="D242" s="14">
        <f>IF(B242="","",IFERROR(VLOOKUP(B242,'材料マスタ'!$B$5:$L$104,7,FALSE)&amp;"",""))</f>
        <v/>
      </c>
      <c r="E242" s="13">
        <f>IF(B242="","",IFERROR(VLOOKUP(B242,'材料マスタ'!$B$5:$L$104,11,FALSE),""))</f>
        <v/>
      </c>
      <c r="F242" s="12">
        <f>IF(OR(B242="",C242=""),"",IFERROR(ROUND(C242*E242,2),""))</f>
        <v/>
      </c>
      <c r="G242" s="14">
        <f>IF(B242="","",IFERROR(IF(VLOOKUP(B242,'材料マスタ'!$B$5:$L$104,11,FALSE)="","材料マスタを確認",IF(C242="","使用量を入力","OK")),"未登録の材料"))</f>
        <v/>
      </c>
    </row>
    <row r="243">
      <c r="A243" s="7" t="n">
        <v>12</v>
      </c>
      <c r="B243" s="8" t="n"/>
      <c r="C243" s="11" t="n"/>
      <c r="D243" s="14">
        <f>IF(B243="","",IFERROR(VLOOKUP(B243,'材料マスタ'!$B$5:$L$104,7,FALSE)&amp;"",""))</f>
        <v/>
      </c>
      <c r="E243" s="13">
        <f>IF(B243="","",IFERROR(VLOOKUP(B243,'材料マスタ'!$B$5:$L$104,11,FALSE),""))</f>
        <v/>
      </c>
      <c r="F243" s="12">
        <f>IF(OR(B243="",C243=""),"",IFERROR(ROUND(C243*E243,2),""))</f>
        <v/>
      </c>
      <c r="G243" s="14">
        <f>IF(B243="","",IFERROR(IF(VLOOKUP(B243,'材料マスタ'!$B$5:$L$104,11,FALSE)="","材料マスタを確認",IF(C243="","使用量を入力","OK")),"未登録の材料"))</f>
        <v/>
      </c>
    </row>
    <row r="244">
      <c r="A244" s="7" t="n">
        <v>13</v>
      </c>
      <c r="B244" s="8" t="n"/>
      <c r="C244" s="11" t="n"/>
      <c r="D244" s="14">
        <f>IF(B244="","",IFERROR(VLOOKUP(B244,'材料マスタ'!$B$5:$L$104,7,FALSE)&amp;"",""))</f>
        <v/>
      </c>
      <c r="E244" s="13">
        <f>IF(B244="","",IFERROR(VLOOKUP(B244,'材料マスタ'!$B$5:$L$104,11,FALSE),""))</f>
        <v/>
      </c>
      <c r="F244" s="12">
        <f>IF(OR(B244="",C244=""),"",IFERROR(ROUND(C244*E244,2),""))</f>
        <v/>
      </c>
      <c r="G244" s="14">
        <f>IF(B244="","",IFERROR(IF(VLOOKUP(B244,'材料マスタ'!$B$5:$L$104,11,FALSE)="","材料マスタを確認",IF(C244="","使用量を入力","OK")),"未登録の材料"))</f>
        <v/>
      </c>
    </row>
    <row r="245">
      <c r="A245" s="7" t="n">
        <v>14</v>
      </c>
      <c r="B245" s="8" t="n"/>
      <c r="C245" s="11" t="n"/>
      <c r="D245" s="14">
        <f>IF(B245="","",IFERROR(VLOOKUP(B245,'材料マスタ'!$B$5:$L$104,7,FALSE)&amp;"",""))</f>
        <v/>
      </c>
      <c r="E245" s="13">
        <f>IF(B245="","",IFERROR(VLOOKUP(B245,'材料マスタ'!$B$5:$L$104,11,FALSE),""))</f>
        <v/>
      </c>
      <c r="F245" s="12">
        <f>IF(OR(B245="",C245=""),"",IFERROR(ROUND(C245*E245,2),""))</f>
        <v/>
      </c>
      <c r="G245" s="14">
        <f>IF(B245="","",IFERROR(IF(VLOOKUP(B245,'材料マスタ'!$B$5:$L$104,11,FALSE)="","材料マスタを確認",IF(C245="","使用量を入力","OK")),"未登録の材料"))</f>
        <v/>
      </c>
    </row>
    <row r="246">
      <c r="A246" s="7" t="n">
        <v>15</v>
      </c>
      <c r="B246" s="8" t="n"/>
      <c r="C246" s="11" t="n"/>
      <c r="D246" s="14">
        <f>IF(B246="","",IFERROR(VLOOKUP(B246,'材料マスタ'!$B$5:$L$104,7,FALSE)&amp;"",""))</f>
        <v/>
      </c>
      <c r="E246" s="13">
        <f>IF(B246="","",IFERROR(VLOOKUP(B246,'材料マスタ'!$B$5:$L$104,11,FALSE),""))</f>
        <v/>
      </c>
      <c r="F246" s="12">
        <f>IF(OR(B246="",C246=""),"",IFERROR(ROUND(C246*E246,2),""))</f>
        <v/>
      </c>
      <c r="G246" s="14">
        <f>IF(B246="","",IFERROR(IF(VLOOKUP(B246,'材料マスタ'!$B$5:$L$104,11,FALSE)="","材料マスタを確認",IF(C246="","使用量を入力","OK")),"未登録の材料"))</f>
        <v/>
      </c>
    </row>
    <row r="247">
      <c r="B247" s="21" t="inlineStr">
        <is>
          <t>合計原価（税抜・円）</t>
        </is>
      </c>
      <c r="C247" s="22">
        <f>SUM(F232:F246)</f>
        <v/>
      </c>
    </row>
    <row r="248">
      <c r="B248" s="23" t="inlineStr">
        <is>
          <t>目標原価率（適用値）</t>
        </is>
      </c>
      <c r="C248" s="24">
        <f>IF(E230="",'設定'!$C$4,IF(E230&gt;1,E230/100,E230))</f>
        <v/>
      </c>
    </row>
    <row r="249">
      <c r="B249" s="23" t="inlineStr">
        <is>
          <t>売価の税率（適用値）</t>
        </is>
      </c>
      <c r="C249" s="25">
        <f>IF(G230="",'設定'!$C$5,IF(G230&gt;=1,G230/100,G230))</f>
        <v/>
      </c>
    </row>
    <row r="250">
      <c r="B250" s="23" t="inlineStr">
        <is>
          <t>税抜売価（円）</t>
        </is>
      </c>
      <c r="C250" s="22">
        <f>IF(C230="","",IFERROR(ROUND(C230/(1+C249),2),""))</f>
        <v/>
      </c>
    </row>
    <row r="251">
      <c r="B251" s="21" t="inlineStr">
        <is>
          <t>原価率</t>
        </is>
      </c>
      <c r="C251" s="26">
        <f>IFERROR(IF(OR(C250="",C250=0),"",ROUND(C247/C250,4)),"")</f>
        <v/>
      </c>
      <c r="D251" s="7" t="inlineStr">
        <is>
          <t>判定［自動］</t>
        </is>
      </c>
      <c r="E251" s="27">
        <f>IF(C251="",IF(C229="","","売価を入力"),IF(C251&gt;C248,"超過","目標内"))</f>
        <v/>
      </c>
    </row>
    <row r="252">
      <c r="B252" s="23" t="inlineStr">
        <is>
          <t>目標との差（＋は目標超過）</t>
        </is>
      </c>
      <c r="C252" s="28">
        <f>IF(C251="","",ROUND(C251-C248,4))</f>
        <v/>
      </c>
    </row>
    <row r="253" ht="30" customHeight="1">
      <c r="B253" s="21" t="inlineStr">
        <is>
          <t>推奨売価（税込・円／目標原価率から逆算、10円単位で切り上げ）</t>
        </is>
      </c>
      <c r="C253" s="29">
        <f>IFERROR(IF(OR(C247=0,C248=0),"",ROUNDUP(ROUND(C247/C248*(1+C249),2)/10,0)*10),"")</f>
        <v/>
      </c>
    </row>
    <row r="254">
      <c r="A254" s="15" t="inlineStr">
        <is>
          <t>メニュー11</t>
        </is>
      </c>
      <c r="B254" s="16" t="inlineStr">
        <is>
          <t>【入力】メニュー名</t>
        </is>
      </c>
      <c r="C254" s="8" t="n"/>
      <c r="D254" s="17" t="n"/>
      <c r="E254" s="17" t="n"/>
      <c r="F254" s="17" t="n"/>
      <c r="G254" s="18" t="n"/>
    </row>
    <row r="255">
      <c r="B255" s="7" t="inlineStr">
        <is>
          <t>【入力】販売価格（税込・円）</t>
        </is>
      </c>
      <c r="C255" s="9" t="n"/>
      <c r="D255" s="19" t="inlineStr">
        <is>
          <t>【入力】目標原価率（空欄=設定値）</t>
        </is>
      </c>
      <c r="E255" s="10" t="n"/>
      <c r="F255" s="19" t="inlineStr">
        <is>
          <t>【入力】売価の税率（空欄=設定値）</t>
        </is>
      </c>
      <c r="G255" s="10" t="n"/>
    </row>
    <row r="256" ht="32" customHeight="1">
      <c r="A256" s="20" t="inlineStr">
        <is>
          <t>No</t>
        </is>
      </c>
      <c r="B256" s="20" t="inlineStr">
        <is>
          <t>【入力】材料名（リストから選ぶ）</t>
        </is>
      </c>
      <c r="C256" s="20" t="inlineStr">
        <is>
          <t>【入力】使用量</t>
        </is>
      </c>
      <c r="D256" s="20" t="inlineStr">
        <is>
          <t>単位［自動］</t>
        </is>
      </c>
      <c r="E256" s="20" t="inlineStr">
        <is>
          <t>単価（税抜・円/単位）［自動］</t>
        </is>
      </c>
      <c r="F256" s="20" t="inlineStr">
        <is>
          <t>原価（円）［自動］</t>
        </is>
      </c>
      <c r="G256" s="20" t="inlineStr">
        <is>
          <t>チェック［自動］</t>
        </is>
      </c>
    </row>
    <row r="257">
      <c r="A257" s="7" t="n">
        <v>1</v>
      </c>
      <c r="B257" s="8" t="n"/>
      <c r="C257" s="11" t="n"/>
      <c r="D257" s="14">
        <f>IF(B257="","",IFERROR(VLOOKUP(B257,'材料マスタ'!$B$5:$L$104,7,FALSE)&amp;"",""))</f>
        <v/>
      </c>
      <c r="E257" s="13">
        <f>IF(B257="","",IFERROR(VLOOKUP(B257,'材料マスタ'!$B$5:$L$104,11,FALSE),""))</f>
        <v/>
      </c>
      <c r="F257" s="12">
        <f>IF(OR(B257="",C257=""),"",IFERROR(ROUND(C257*E257,2),""))</f>
        <v/>
      </c>
      <c r="G257" s="14">
        <f>IF(B257="","",IFERROR(IF(VLOOKUP(B257,'材料マスタ'!$B$5:$L$104,11,FALSE)="","材料マスタを確認",IF(C257="","使用量を入力","OK")),"未登録の材料"))</f>
        <v/>
      </c>
    </row>
    <row r="258">
      <c r="A258" s="7" t="n">
        <v>2</v>
      </c>
      <c r="B258" s="8" t="n"/>
      <c r="C258" s="11" t="n"/>
      <c r="D258" s="14">
        <f>IF(B258="","",IFERROR(VLOOKUP(B258,'材料マスタ'!$B$5:$L$104,7,FALSE)&amp;"",""))</f>
        <v/>
      </c>
      <c r="E258" s="13">
        <f>IF(B258="","",IFERROR(VLOOKUP(B258,'材料マスタ'!$B$5:$L$104,11,FALSE),""))</f>
        <v/>
      </c>
      <c r="F258" s="12">
        <f>IF(OR(B258="",C258=""),"",IFERROR(ROUND(C258*E258,2),""))</f>
        <v/>
      </c>
      <c r="G258" s="14">
        <f>IF(B258="","",IFERROR(IF(VLOOKUP(B258,'材料マスタ'!$B$5:$L$104,11,FALSE)="","材料マスタを確認",IF(C258="","使用量を入力","OK")),"未登録の材料"))</f>
        <v/>
      </c>
    </row>
    <row r="259">
      <c r="A259" s="7" t="n">
        <v>3</v>
      </c>
      <c r="B259" s="8" t="n"/>
      <c r="C259" s="11" t="n"/>
      <c r="D259" s="14">
        <f>IF(B259="","",IFERROR(VLOOKUP(B259,'材料マスタ'!$B$5:$L$104,7,FALSE)&amp;"",""))</f>
        <v/>
      </c>
      <c r="E259" s="13">
        <f>IF(B259="","",IFERROR(VLOOKUP(B259,'材料マスタ'!$B$5:$L$104,11,FALSE),""))</f>
        <v/>
      </c>
      <c r="F259" s="12">
        <f>IF(OR(B259="",C259=""),"",IFERROR(ROUND(C259*E259,2),""))</f>
        <v/>
      </c>
      <c r="G259" s="14">
        <f>IF(B259="","",IFERROR(IF(VLOOKUP(B259,'材料マスタ'!$B$5:$L$104,11,FALSE)="","材料マスタを確認",IF(C259="","使用量を入力","OK")),"未登録の材料"))</f>
        <v/>
      </c>
    </row>
    <row r="260">
      <c r="A260" s="7" t="n">
        <v>4</v>
      </c>
      <c r="B260" s="8" t="n"/>
      <c r="C260" s="11" t="n"/>
      <c r="D260" s="14">
        <f>IF(B260="","",IFERROR(VLOOKUP(B260,'材料マスタ'!$B$5:$L$104,7,FALSE)&amp;"",""))</f>
        <v/>
      </c>
      <c r="E260" s="13">
        <f>IF(B260="","",IFERROR(VLOOKUP(B260,'材料マスタ'!$B$5:$L$104,11,FALSE),""))</f>
        <v/>
      </c>
      <c r="F260" s="12">
        <f>IF(OR(B260="",C260=""),"",IFERROR(ROUND(C260*E260,2),""))</f>
        <v/>
      </c>
      <c r="G260" s="14">
        <f>IF(B260="","",IFERROR(IF(VLOOKUP(B260,'材料マスタ'!$B$5:$L$104,11,FALSE)="","材料マスタを確認",IF(C260="","使用量を入力","OK")),"未登録の材料"))</f>
        <v/>
      </c>
    </row>
    <row r="261">
      <c r="A261" s="7" t="n">
        <v>5</v>
      </c>
      <c r="B261" s="8" t="n"/>
      <c r="C261" s="11" t="n"/>
      <c r="D261" s="14">
        <f>IF(B261="","",IFERROR(VLOOKUP(B261,'材料マスタ'!$B$5:$L$104,7,FALSE)&amp;"",""))</f>
        <v/>
      </c>
      <c r="E261" s="13">
        <f>IF(B261="","",IFERROR(VLOOKUP(B261,'材料マスタ'!$B$5:$L$104,11,FALSE),""))</f>
        <v/>
      </c>
      <c r="F261" s="12">
        <f>IF(OR(B261="",C261=""),"",IFERROR(ROUND(C261*E261,2),""))</f>
        <v/>
      </c>
      <c r="G261" s="14">
        <f>IF(B261="","",IFERROR(IF(VLOOKUP(B261,'材料マスタ'!$B$5:$L$104,11,FALSE)="","材料マスタを確認",IF(C261="","使用量を入力","OK")),"未登録の材料"))</f>
        <v/>
      </c>
    </row>
    <row r="262">
      <c r="A262" s="7" t="n">
        <v>6</v>
      </c>
      <c r="B262" s="8" t="n"/>
      <c r="C262" s="11" t="n"/>
      <c r="D262" s="14">
        <f>IF(B262="","",IFERROR(VLOOKUP(B262,'材料マスタ'!$B$5:$L$104,7,FALSE)&amp;"",""))</f>
        <v/>
      </c>
      <c r="E262" s="13">
        <f>IF(B262="","",IFERROR(VLOOKUP(B262,'材料マスタ'!$B$5:$L$104,11,FALSE),""))</f>
        <v/>
      </c>
      <c r="F262" s="12">
        <f>IF(OR(B262="",C262=""),"",IFERROR(ROUND(C262*E262,2),""))</f>
        <v/>
      </c>
      <c r="G262" s="14">
        <f>IF(B262="","",IFERROR(IF(VLOOKUP(B262,'材料マスタ'!$B$5:$L$104,11,FALSE)="","材料マスタを確認",IF(C262="","使用量を入力","OK")),"未登録の材料"))</f>
        <v/>
      </c>
    </row>
    <row r="263">
      <c r="A263" s="7" t="n">
        <v>7</v>
      </c>
      <c r="B263" s="8" t="n"/>
      <c r="C263" s="11" t="n"/>
      <c r="D263" s="14">
        <f>IF(B263="","",IFERROR(VLOOKUP(B263,'材料マスタ'!$B$5:$L$104,7,FALSE)&amp;"",""))</f>
        <v/>
      </c>
      <c r="E263" s="13">
        <f>IF(B263="","",IFERROR(VLOOKUP(B263,'材料マスタ'!$B$5:$L$104,11,FALSE),""))</f>
        <v/>
      </c>
      <c r="F263" s="12">
        <f>IF(OR(B263="",C263=""),"",IFERROR(ROUND(C263*E263,2),""))</f>
        <v/>
      </c>
      <c r="G263" s="14">
        <f>IF(B263="","",IFERROR(IF(VLOOKUP(B263,'材料マスタ'!$B$5:$L$104,11,FALSE)="","材料マスタを確認",IF(C263="","使用量を入力","OK")),"未登録の材料"))</f>
        <v/>
      </c>
    </row>
    <row r="264">
      <c r="A264" s="7" t="n">
        <v>8</v>
      </c>
      <c r="B264" s="8" t="n"/>
      <c r="C264" s="11" t="n"/>
      <c r="D264" s="14">
        <f>IF(B264="","",IFERROR(VLOOKUP(B264,'材料マスタ'!$B$5:$L$104,7,FALSE)&amp;"",""))</f>
        <v/>
      </c>
      <c r="E264" s="13">
        <f>IF(B264="","",IFERROR(VLOOKUP(B264,'材料マスタ'!$B$5:$L$104,11,FALSE),""))</f>
        <v/>
      </c>
      <c r="F264" s="12">
        <f>IF(OR(B264="",C264=""),"",IFERROR(ROUND(C264*E264,2),""))</f>
        <v/>
      </c>
      <c r="G264" s="14">
        <f>IF(B264="","",IFERROR(IF(VLOOKUP(B264,'材料マスタ'!$B$5:$L$104,11,FALSE)="","材料マスタを確認",IF(C264="","使用量を入力","OK")),"未登録の材料"))</f>
        <v/>
      </c>
    </row>
    <row r="265">
      <c r="A265" s="7" t="n">
        <v>9</v>
      </c>
      <c r="B265" s="8" t="n"/>
      <c r="C265" s="11" t="n"/>
      <c r="D265" s="14">
        <f>IF(B265="","",IFERROR(VLOOKUP(B265,'材料マスタ'!$B$5:$L$104,7,FALSE)&amp;"",""))</f>
        <v/>
      </c>
      <c r="E265" s="13">
        <f>IF(B265="","",IFERROR(VLOOKUP(B265,'材料マスタ'!$B$5:$L$104,11,FALSE),""))</f>
        <v/>
      </c>
      <c r="F265" s="12">
        <f>IF(OR(B265="",C265=""),"",IFERROR(ROUND(C265*E265,2),""))</f>
        <v/>
      </c>
      <c r="G265" s="14">
        <f>IF(B265="","",IFERROR(IF(VLOOKUP(B265,'材料マスタ'!$B$5:$L$104,11,FALSE)="","材料マスタを確認",IF(C265="","使用量を入力","OK")),"未登録の材料"))</f>
        <v/>
      </c>
    </row>
    <row r="266">
      <c r="A266" s="7" t="n">
        <v>10</v>
      </c>
      <c r="B266" s="8" t="n"/>
      <c r="C266" s="11" t="n"/>
      <c r="D266" s="14">
        <f>IF(B266="","",IFERROR(VLOOKUP(B266,'材料マスタ'!$B$5:$L$104,7,FALSE)&amp;"",""))</f>
        <v/>
      </c>
      <c r="E266" s="13">
        <f>IF(B266="","",IFERROR(VLOOKUP(B266,'材料マスタ'!$B$5:$L$104,11,FALSE),""))</f>
        <v/>
      </c>
      <c r="F266" s="12">
        <f>IF(OR(B266="",C266=""),"",IFERROR(ROUND(C266*E266,2),""))</f>
        <v/>
      </c>
      <c r="G266" s="14">
        <f>IF(B266="","",IFERROR(IF(VLOOKUP(B266,'材料マスタ'!$B$5:$L$104,11,FALSE)="","材料マスタを確認",IF(C266="","使用量を入力","OK")),"未登録の材料"))</f>
        <v/>
      </c>
    </row>
    <row r="267">
      <c r="A267" s="7" t="n">
        <v>11</v>
      </c>
      <c r="B267" s="8" t="n"/>
      <c r="C267" s="11" t="n"/>
      <c r="D267" s="14">
        <f>IF(B267="","",IFERROR(VLOOKUP(B267,'材料マスタ'!$B$5:$L$104,7,FALSE)&amp;"",""))</f>
        <v/>
      </c>
      <c r="E267" s="13">
        <f>IF(B267="","",IFERROR(VLOOKUP(B267,'材料マスタ'!$B$5:$L$104,11,FALSE),""))</f>
        <v/>
      </c>
      <c r="F267" s="12">
        <f>IF(OR(B267="",C267=""),"",IFERROR(ROUND(C267*E267,2),""))</f>
        <v/>
      </c>
      <c r="G267" s="14">
        <f>IF(B267="","",IFERROR(IF(VLOOKUP(B267,'材料マスタ'!$B$5:$L$104,11,FALSE)="","材料マスタを確認",IF(C267="","使用量を入力","OK")),"未登録の材料"))</f>
        <v/>
      </c>
    </row>
    <row r="268">
      <c r="A268" s="7" t="n">
        <v>12</v>
      </c>
      <c r="B268" s="8" t="n"/>
      <c r="C268" s="11" t="n"/>
      <c r="D268" s="14">
        <f>IF(B268="","",IFERROR(VLOOKUP(B268,'材料マスタ'!$B$5:$L$104,7,FALSE)&amp;"",""))</f>
        <v/>
      </c>
      <c r="E268" s="13">
        <f>IF(B268="","",IFERROR(VLOOKUP(B268,'材料マスタ'!$B$5:$L$104,11,FALSE),""))</f>
        <v/>
      </c>
      <c r="F268" s="12">
        <f>IF(OR(B268="",C268=""),"",IFERROR(ROUND(C268*E268,2),""))</f>
        <v/>
      </c>
      <c r="G268" s="14">
        <f>IF(B268="","",IFERROR(IF(VLOOKUP(B268,'材料マスタ'!$B$5:$L$104,11,FALSE)="","材料マスタを確認",IF(C268="","使用量を入力","OK")),"未登録の材料"))</f>
        <v/>
      </c>
    </row>
    <row r="269">
      <c r="A269" s="7" t="n">
        <v>13</v>
      </c>
      <c r="B269" s="8" t="n"/>
      <c r="C269" s="11" t="n"/>
      <c r="D269" s="14">
        <f>IF(B269="","",IFERROR(VLOOKUP(B269,'材料マスタ'!$B$5:$L$104,7,FALSE)&amp;"",""))</f>
        <v/>
      </c>
      <c r="E269" s="13">
        <f>IF(B269="","",IFERROR(VLOOKUP(B269,'材料マスタ'!$B$5:$L$104,11,FALSE),""))</f>
        <v/>
      </c>
      <c r="F269" s="12">
        <f>IF(OR(B269="",C269=""),"",IFERROR(ROUND(C269*E269,2),""))</f>
        <v/>
      </c>
      <c r="G269" s="14">
        <f>IF(B269="","",IFERROR(IF(VLOOKUP(B269,'材料マスタ'!$B$5:$L$104,11,FALSE)="","材料マスタを確認",IF(C269="","使用量を入力","OK")),"未登録の材料"))</f>
        <v/>
      </c>
    </row>
    <row r="270">
      <c r="A270" s="7" t="n">
        <v>14</v>
      </c>
      <c r="B270" s="8" t="n"/>
      <c r="C270" s="11" t="n"/>
      <c r="D270" s="14">
        <f>IF(B270="","",IFERROR(VLOOKUP(B270,'材料マスタ'!$B$5:$L$104,7,FALSE)&amp;"",""))</f>
        <v/>
      </c>
      <c r="E270" s="13">
        <f>IF(B270="","",IFERROR(VLOOKUP(B270,'材料マスタ'!$B$5:$L$104,11,FALSE),""))</f>
        <v/>
      </c>
      <c r="F270" s="12">
        <f>IF(OR(B270="",C270=""),"",IFERROR(ROUND(C270*E270,2),""))</f>
        <v/>
      </c>
      <c r="G270" s="14">
        <f>IF(B270="","",IFERROR(IF(VLOOKUP(B270,'材料マスタ'!$B$5:$L$104,11,FALSE)="","材料マスタを確認",IF(C270="","使用量を入力","OK")),"未登録の材料"))</f>
        <v/>
      </c>
    </row>
    <row r="271">
      <c r="A271" s="7" t="n">
        <v>15</v>
      </c>
      <c r="B271" s="8" t="n"/>
      <c r="C271" s="11" t="n"/>
      <c r="D271" s="14">
        <f>IF(B271="","",IFERROR(VLOOKUP(B271,'材料マスタ'!$B$5:$L$104,7,FALSE)&amp;"",""))</f>
        <v/>
      </c>
      <c r="E271" s="13">
        <f>IF(B271="","",IFERROR(VLOOKUP(B271,'材料マスタ'!$B$5:$L$104,11,FALSE),""))</f>
        <v/>
      </c>
      <c r="F271" s="12">
        <f>IF(OR(B271="",C271=""),"",IFERROR(ROUND(C271*E271,2),""))</f>
        <v/>
      </c>
      <c r="G271" s="14">
        <f>IF(B271="","",IFERROR(IF(VLOOKUP(B271,'材料マスタ'!$B$5:$L$104,11,FALSE)="","材料マスタを確認",IF(C271="","使用量を入力","OK")),"未登録の材料"))</f>
        <v/>
      </c>
    </row>
    <row r="272">
      <c r="B272" s="21" t="inlineStr">
        <is>
          <t>合計原価（税抜・円）</t>
        </is>
      </c>
      <c r="C272" s="22">
        <f>SUM(F257:F271)</f>
        <v/>
      </c>
    </row>
    <row r="273">
      <c r="B273" s="23" t="inlineStr">
        <is>
          <t>目標原価率（適用値）</t>
        </is>
      </c>
      <c r="C273" s="24">
        <f>IF(E255="",'設定'!$C$4,IF(E255&gt;1,E255/100,E255))</f>
        <v/>
      </c>
    </row>
    <row r="274">
      <c r="B274" s="23" t="inlineStr">
        <is>
          <t>売価の税率（適用値）</t>
        </is>
      </c>
      <c r="C274" s="25">
        <f>IF(G255="",'設定'!$C$5,IF(G255&gt;=1,G255/100,G255))</f>
        <v/>
      </c>
    </row>
    <row r="275">
      <c r="B275" s="23" t="inlineStr">
        <is>
          <t>税抜売価（円）</t>
        </is>
      </c>
      <c r="C275" s="22">
        <f>IF(C255="","",IFERROR(ROUND(C255/(1+C274),2),""))</f>
        <v/>
      </c>
    </row>
    <row r="276">
      <c r="B276" s="21" t="inlineStr">
        <is>
          <t>原価率</t>
        </is>
      </c>
      <c r="C276" s="26">
        <f>IFERROR(IF(OR(C275="",C275=0),"",ROUND(C272/C275,4)),"")</f>
        <v/>
      </c>
      <c r="D276" s="7" t="inlineStr">
        <is>
          <t>判定［自動］</t>
        </is>
      </c>
      <c r="E276" s="27">
        <f>IF(C276="",IF(C254="","","売価を入力"),IF(C276&gt;C273,"超過","目標内"))</f>
        <v/>
      </c>
    </row>
    <row r="277">
      <c r="B277" s="23" t="inlineStr">
        <is>
          <t>目標との差（＋は目標超過）</t>
        </is>
      </c>
      <c r="C277" s="28">
        <f>IF(C276="","",ROUND(C276-C273,4))</f>
        <v/>
      </c>
    </row>
    <row r="278" ht="30" customHeight="1">
      <c r="B278" s="21" t="inlineStr">
        <is>
          <t>推奨売価（税込・円／目標原価率から逆算、10円単位で切り上げ）</t>
        </is>
      </c>
      <c r="C278" s="29">
        <f>IFERROR(IF(OR(C272=0,C273=0),"",ROUNDUP(ROUND(C272/C273*(1+C274),2)/10,0)*10),"")</f>
        <v/>
      </c>
    </row>
    <row r="279">
      <c r="A279" s="15" t="inlineStr">
        <is>
          <t>メニュー12</t>
        </is>
      </c>
      <c r="B279" s="16" t="inlineStr">
        <is>
          <t>【入力】メニュー名</t>
        </is>
      </c>
      <c r="C279" s="8" t="n"/>
      <c r="D279" s="17" t="n"/>
      <c r="E279" s="17" t="n"/>
      <c r="F279" s="17" t="n"/>
      <c r="G279" s="18" t="n"/>
    </row>
    <row r="280">
      <c r="B280" s="7" t="inlineStr">
        <is>
          <t>【入力】販売価格（税込・円）</t>
        </is>
      </c>
      <c r="C280" s="9" t="n"/>
      <c r="D280" s="19" t="inlineStr">
        <is>
          <t>【入力】目標原価率（空欄=設定値）</t>
        </is>
      </c>
      <c r="E280" s="10" t="n"/>
      <c r="F280" s="19" t="inlineStr">
        <is>
          <t>【入力】売価の税率（空欄=設定値）</t>
        </is>
      </c>
      <c r="G280" s="10" t="n"/>
    </row>
    <row r="281" ht="32" customHeight="1">
      <c r="A281" s="20" t="inlineStr">
        <is>
          <t>No</t>
        </is>
      </c>
      <c r="B281" s="20" t="inlineStr">
        <is>
          <t>【入力】材料名（リストから選ぶ）</t>
        </is>
      </c>
      <c r="C281" s="20" t="inlineStr">
        <is>
          <t>【入力】使用量</t>
        </is>
      </c>
      <c r="D281" s="20" t="inlineStr">
        <is>
          <t>単位［自動］</t>
        </is>
      </c>
      <c r="E281" s="20" t="inlineStr">
        <is>
          <t>単価（税抜・円/単位）［自動］</t>
        </is>
      </c>
      <c r="F281" s="20" t="inlineStr">
        <is>
          <t>原価（円）［自動］</t>
        </is>
      </c>
      <c r="G281" s="20" t="inlineStr">
        <is>
          <t>チェック［自動］</t>
        </is>
      </c>
    </row>
    <row r="282">
      <c r="A282" s="7" t="n">
        <v>1</v>
      </c>
      <c r="B282" s="8" t="n"/>
      <c r="C282" s="11" t="n"/>
      <c r="D282" s="14">
        <f>IF(B282="","",IFERROR(VLOOKUP(B282,'材料マスタ'!$B$5:$L$104,7,FALSE)&amp;"",""))</f>
        <v/>
      </c>
      <c r="E282" s="13">
        <f>IF(B282="","",IFERROR(VLOOKUP(B282,'材料マスタ'!$B$5:$L$104,11,FALSE),""))</f>
        <v/>
      </c>
      <c r="F282" s="12">
        <f>IF(OR(B282="",C282=""),"",IFERROR(ROUND(C282*E282,2),""))</f>
        <v/>
      </c>
      <c r="G282" s="14">
        <f>IF(B282="","",IFERROR(IF(VLOOKUP(B282,'材料マスタ'!$B$5:$L$104,11,FALSE)="","材料マスタを確認",IF(C282="","使用量を入力","OK")),"未登録の材料"))</f>
        <v/>
      </c>
    </row>
    <row r="283">
      <c r="A283" s="7" t="n">
        <v>2</v>
      </c>
      <c r="B283" s="8" t="n"/>
      <c r="C283" s="11" t="n"/>
      <c r="D283" s="14">
        <f>IF(B283="","",IFERROR(VLOOKUP(B283,'材料マスタ'!$B$5:$L$104,7,FALSE)&amp;"",""))</f>
        <v/>
      </c>
      <c r="E283" s="13">
        <f>IF(B283="","",IFERROR(VLOOKUP(B283,'材料マスタ'!$B$5:$L$104,11,FALSE),""))</f>
        <v/>
      </c>
      <c r="F283" s="12">
        <f>IF(OR(B283="",C283=""),"",IFERROR(ROUND(C283*E283,2),""))</f>
        <v/>
      </c>
      <c r="G283" s="14">
        <f>IF(B283="","",IFERROR(IF(VLOOKUP(B283,'材料マスタ'!$B$5:$L$104,11,FALSE)="","材料マスタを確認",IF(C283="","使用量を入力","OK")),"未登録の材料"))</f>
        <v/>
      </c>
    </row>
    <row r="284">
      <c r="A284" s="7" t="n">
        <v>3</v>
      </c>
      <c r="B284" s="8" t="n"/>
      <c r="C284" s="11" t="n"/>
      <c r="D284" s="14">
        <f>IF(B284="","",IFERROR(VLOOKUP(B284,'材料マスタ'!$B$5:$L$104,7,FALSE)&amp;"",""))</f>
        <v/>
      </c>
      <c r="E284" s="13">
        <f>IF(B284="","",IFERROR(VLOOKUP(B284,'材料マスタ'!$B$5:$L$104,11,FALSE),""))</f>
        <v/>
      </c>
      <c r="F284" s="12">
        <f>IF(OR(B284="",C284=""),"",IFERROR(ROUND(C284*E284,2),""))</f>
        <v/>
      </c>
      <c r="G284" s="14">
        <f>IF(B284="","",IFERROR(IF(VLOOKUP(B284,'材料マスタ'!$B$5:$L$104,11,FALSE)="","材料マスタを確認",IF(C284="","使用量を入力","OK")),"未登録の材料"))</f>
        <v/>
      </c>
    </row>
    <row r="285">
      <c r="A285" s="7" t="n">
        <v>4</v>
      </c>
      <c r="B285" s="8" t="n"/>
      <c r="C285" s="11" t="n"/>
      <c r="D285" s="14">
        <f>IF(B285="","",IFERROR(VLOOKUP(B285,'材料マスタ'!$B$5:$L$104,7,FALSE)&amp;"",""))</f>
        <v/>
      </c>
      <c r="E285" s="13">
        <f>IF(B285="","",IFERROR(VLOOKUP(B285,'材料マスタ'!$B$5:$L$104,11,FALSE),""))</f>
        <v/>
      </c>
      <c r="F285" s="12">
        <f>IF(OR(B285="",C285=""),"",IFERROR(ROUND(C285*E285,2),""))</f>
        <v/>
      </c>
      <c r="G285" s="14">
        <f>IF(B285="","",IFERROR(IF(VLOOKUP(B285,'材料マスタ'!$B$5:$L$104,11,FALSE)="","材料マスタを確認",IF(C285="","使用量を入力","OK")),"未登録の材料"))</f>
        <v/>
      </c>
    </row>
    <row r="286">
      <c r="A286" s="7" t="n">
        <v>5</v>
      </c>
      <c r="B286" s="8" t="n"/>
      <c r="C286" s="11" t="n"/>
      <c r="D286" s="14">
        <f>IF(B286="","",IFERROR(VLOOKUP(B286,'材料マスタ'!$B$5:$L$104,7,FALSE)&amp;"",""))</f>
        <v/>
      </c>
      <c r="E286" s="13">
        <f>IF(B286="","",IFERROR(VLOOKUP(B286,'材料マスタ'!$B$5:$L$104,11,FALSE),""))</f>
        <v/>
      </c>
      <c r="F286" s="12">
        <f>IF(OR(B286="",C286=""),"",IFERROR(ROUND(C286*E286,2),""))</f>
        <v/>
      </c>
      <c r="G286" s="14">
        <f>IF(B286="","",IFERROR(IF(VLOOKUP(B286,'材料マスタ'!$B$5:$L$104,11,FALSE)="","材料マスタを確認",IF(C286="","使用量を入力","OK")),"未登録の材料"))</f>
        <v/>
      </c>
    </row>
    <row r="287">
      <c r="A287" s="7" t="n">
        <v>6</v>
      </c>
      <c r="B287" s="8" t="n"/>
      <c r="C287" s="11" t="n"/>
      <c r="D287" s="14">
        <f>IF(B287="","",IFERROR(VLOOKUP(B287,'材料マスタ'!$B$5:$L$104,7,FALSE)&amp;"",""))</f>
        <v/>
      </c>
      <c r="E287" s="13">
        <f>IF(B287="","",IFERROR(VLOOKUP(B287,'材料マスタ'!$B$5:$L$104,11,FALSE),""))</f>
        <v/>
      </c>
      <c r="F287" s="12">
        <f>IF(OR(B287="",C287=""),"",IFERROR(ROUND(C287*E287,2),""))</f>
        <v/>
      </c>
      <c r="G287" s="14">
        <f>IF(B287="","",IFERROR(IF(VLOOKUP(B287,'材料マスタ'!$B$5:$L$104,11,FALSE)="","材料マスタを確認",IF(C287="","使用量を入力","OK")),"未登録の材料"))</f>
        <v/>
      </c>
    </row>
    <row r="288">
      <c r="A288" s="7" t="n">
        <v>7</v>
      </c>
      <c r="B288" s="8" t="n"/>
      <c r="C288" s="11" t="n"/>
      <c r="D288" s="14">
        <f>IF(B288="","",IFERROR(VLOOKUP(B288,'材料マスタ'!$B$5:$L$104,7,FALSE)&amp;"",""))</f>
        <v/>
      </c>
      <c r="E288" s="13">
        <f>IF(B288="","",IFERROR(VLOOKUP(B288,'材料マスタ'!$B$5:$L$104,11,FALSE),""))</f>
        <v/>
      </c>
      <c r="F288" s="12">
        <f>IF(OR(B288="",C288=""),"",IFERROR(ROUND(C288*E288,2),""))</f>
        <v/>
      </c>
      <c r="G288" s="14">
        <f>IF(B288="","",IFERROR(IF(VLOOKUP(B288,'材料マスタ'!$B$5:$L$104,11,FALSE)="","材料マスタを確認",IF(C288="","使用量を入力","OK")),"未登録の材料"))</f>
        <v/>
      </c>
    </row>
    <row r="289">
      <c r="A289" s="7" t="n">
        <v>8</v>
      </c>
      <c r="B289" s="8" t="n"/>
      <c r="C289" s="11" t="n"/>
      <c r="D289" s="14">
        <f>IF(B289="","",IFERROR(VLOOKUP(B289,'材料マスタ'!$B$5:$L$104,7,FALSE)&amp;"",""))</f>
        <v/>
      </c>
      <c r="E289" s="13">
        <f>IF(B289="","",IFERROR(VLOOKUP(B289,'材料マスタ'!$B$5:$L$104,11,FALSE),""))</f>
        <v/>
      </c>
      <c r="F289" s="12">
        <f>IF(OR(B289="",C289=""),"",IFERROR(ROUND(C289*E289,2),""))</f>
        <v/>
      </c>
      <c r="G289" s="14">
        <f>IF(B289="","",IFERROR(IF(VLOOKUP(B289,'材料マスタ'!$B$5:$L$104,11,FALSE)="","材料マスタを確認",IF(C289="","使用量を入力","OK")),"未登録の材料"))</f>
        <v/>
      </c>
    </row>
    <row r="290">
      <c r="A290" s="7" t="n">
        <v>9</v>
      </c>
      <c r="B290" s="8" t="n"/>
      <c r="C290" s="11" t="n"/>
      <c r="D290" s="14">
        <f>IF(B290="","",IFERROR(VLOOKUP(B290,'材料マスタ'!$B$5:$L$104,7,FALSE)&amp;"",""))</f>
        <v/>
      </c>
      <c r="E290" s="13">
        <f>IF(B290="","",IFERROR(VLOOKUP(B290,'材料マスタ'!$B$5:$L$104,11,FALSE),""))</f>
        <v/>
      </c>
      <c r="F290" s="12">
        <f>IF(OR(B290="",C290=""),"",IFERROR(ROUND(C290*E290,2),""))</f>
        <v/>
      </c>
      <c r="G290" s="14">
        <f>IF(B290="","",IFERROR(IF(VLOOKUP(B290,'材料マスタ'!$B$5:$L$104,11,FALSE)="","材料マスタを確認",IF(C290="","使用量を入力","OK")),"未登録の材料"))</f>
        <v/>
      </c>
    </row>
    <row r="291">
      <c r="A291" s="7" t="n">
        <v>10</v>
      </c>
      <c r="B291" s="8" t="n"/>
      <c r="C291" s="11" t="n"/>
      <c r="D291" s="14">
        <f>IF(B291="","",IFERROR(VLOOKUP(B291,'材料マスタ'!$B$5:$L$104,7,FALSE)&amp;"",""))</f>
        <v/>
      </c>
      <c r="E291" s="13">
        <f>IF(B291="","",IFERROR(VLOOKUP(B291,'材料マスタ'!$B$5:$L$104,11,FALSE),""))</f>
        <v/>
      </c>
      <c r="F291" s="12">
        <f>IF(OR(B291="",C291=""),"",IFERROR(ROUND(C291*E291,2),""))</f>
        <v/>
      </c>
      <c r="G291" s="14">
        <f>IF(B291="","",IFERROR(IF(VLOOKUP(B291,'材料マスタ'!$B$5:$L$104,11,FALSE)="","材料マスタを確認",IF(C291="","使用量を入力","OK")),"未登録の材料"))</f>
        <v/>
      </c>
    </row>
    <row r="292">
      <c r="A292" s="7" t="n">
        <v>11</v>
      </c>
      <c r="B292" s="8" t="n"/>
      <c r="C292" s="11" t="n"/>
      <c r="D292" s="14">
        <f>IF(B292="","",IFERROR(VLOOKUP(B292,'材料マスタ'!$B$5:$L$104,7,FALSE)&amp;"",""))</f>
        <v/>
      </c>
      <c r="E292" s="13">
        <f>IF(B292="","",IFERROR(VLOOKUP(B292,'材料マスタ'!$B$5:$L$104,11,FALSE),""))</f>
        <v/>
      </c>
      <c r="F292" s="12">
        <f>IF(OR(B292="",C292=""),"",IFERROR(ROUND(C292*E292,2),""))</f>
        <v/>
      </c>
      <c r="G292" s="14">
        <f>IF(B292="","",IFERROR(IF(VLOOKUP(B292,'材料マスタ'!$B$5:$L$104,11,FALSE)="","材料マスタを確認",IF(C292="","使用量を入力","OK")),"未登録の材料"))</f>
        <v/>
      </c>
    </row>
    <row r="293">
      <c r="A293" s="7" t="n">
        <v>12</v>
      </c>
      <c r="B293" s="8" t="n"/>
      <c r="C293" s="11" t="n"/>
      <c r="D293" s="14">
        <f>IF(B293="","",IFERROR(VLOOKUP(B293,'材料マスタ'!$B$5:$L$104,7,FALSE)&amp;"",""))</f>
        <v/>
      </c>
      <c r="E293" s="13">
        <f>IF(B293="","",IFERROR(VLOOKUP(B293,'材料マスタ'!$B$5:$L$104,11,FALSE),""))</f>
        <v/>
      </c>
      <c r="F293" s="12">
        <f>IF(OR(B293="",C293=""),"",IFERROR(ROUND(C293*E293,2),""))</f>
        <v/>
      </c>
      <c r="G293" s="14">
        <f>IF(B293="","",IFERROR(IF(VLOOKUP(B293,'材料マスタ'!$B$5:$L$104,11,FALSE)="","材料マスタを確認",IF(C293="","使用量を入力","OK")),"未登録の材料"))</f>
        <v/>
      </c>
    </row>
    <row r="294">
      <c r="A294" s="7" t="n">
        <v>13</v>
      </c>
      <c r="B294" s="8" t="n"/>
      <c r="C294" s="11" t="n"/>
      <c r="D294" s="14">
        <f>IF(B294="","",IFERROR(VLOOKUP(B294,'材料マスタ'!$B$5:$L$104,7,FALSE)&amp;"",""))</f>
        <v/>
      </c>
      <c r="E294" s="13">
        <f>IF(B294="","",IFERROR(VLOOKUP(B294,'材料マスタ'!$B$5:$L$104,11,FALSE),""))</f>
        <v/>
      </c>
      <c r="F294" s="12">
        <f>IF(OR(B294="",C294=""),"",IFERROR(ROUND(C294*E294,2),""))</f>
        <v/>
      </c>
      <c r="G294" s="14">
        <f>IF(B294="","",IFERROR(IF(VLOOKUP(B294,'材料マスタ'!$B$5:$L$104,11,FALSE)="","材料マスタを確認",IF(C294="","使用量を入力","OK")),"未登録の材料"))</f>
        <v/>
      </c>
    </row>
    <row r="295">
      <c r="A295" s="7" t="n">
        <v>14</v>
      </c>
      <c r="B295" s="8" t="n"/>
      <c r="C295" s="11" t="n"/>
      <c r="D295" s="14">
        <f>IF(B295="","",IFERROR(VLOOKUP(B295,'材料マスタ'!$B$5:$L$104,7,FALSE)&amp;"",""))</f>
        <v/>
      </c>
      <c r="E295" s="13">
        <f>IF(B295="","",IFERROR(VLOOKUP(B295,'材料マスタ'!$B$5:$L$104,11,FALSE),""))</f>
        <v/>
      </c>
      <c r="F295" s="12">
        <f>IF(OR(B295="",C295=""),"",IFERROR(ROUND(C295*E295,2),""))</f>
        <v/>
      </c>
      <c r="G295" s="14">
        <f>IF(B295="","",IFERROR(IF(VLOOKUP(B295,'材料マスタ'!$B$5:$L$104,11,FALSE)="","材料マスタを確認",IF(C295="","使用量を入力","OK")),"未登録の材料"))</f>
        <v/>
      </c>
    </row>
    <row r="296">
      <c r="A296" s="7" t="n">
        <v>15</v>
      </c>
      <c r="B296" s="8" t="n"/>
      <c r="C296" s="11" t="n"/>
      <c r="D296" s="14">
        <f>IF(B296="","",IFERROR(VLOOKUP(B296,'材料マスタ'!$B$5:$L$104,7,FALSE)&amp;"",""))</f>
        <v/>
      </c>
      <c r="E296" s="13">
        <f>IF(B296="","",IFERROR(VLOOKUP(B296,'材料マスタ'!$B$5:$L$104,11,FALSE),""))</f>
        <v/>
      </c>
      <c r="F296" s="12">
        <f>IF(OR(B296="",C296=""),"",IFERROR(ROUND(C296*E296,2),""))</f>
        <v/>
      </c>
      <c r="G296" s="14">
        <f>IF(B296="","",IFERROR(IF(VLOOKUP(B296,'材料マスタ'!$B$5:$L$104,11,FALSE)="","材料マスタを確認",IF(C296="","使用量を入力","OK")),"未登録の材料"))</f>
        <v/>
      </c>
    </row>
    <row r="297">
      <c r="B297" s="21" t="inlineStr">
        <is>
          <t>合計原価（税抜・円）</t>
        </is>
      </c>
      <c r="C297" s="22">
        <f>SUM(F282:F296)</f>
        <v/>
      </c>
    </row>
    <row r="298">
      <c r="B298" s="23" t="inlineStr">
        <is>
          <t>目標原価率（適用値）</t>
        </is>
      </c>
      <c r="C298" s="24">
        <f>IF(E280="",'設定'!$C$4,IF(E280&gt;1,E280/100,E280))</f>
        <v/>
      </c>
    </row>
    <row r="299">
      <c r="B299" s="23" t="inlineStr">
        <is>
          <t>売価の税率（適用値）</t>
        </is>
      </c>
      <c r="C299" s="25">
        <f>IF(G280="",'設定'!$C$5,IF(G280&gt;=1,G280/100,G280))</f>
        <v/>
      </c>
    </row>
    <row r="300">
      <c r="B300" s="23" t="inlineStr">
        <is>
          <t>税抜売価（円）</t>
        </is>
      </c>
      <c r="C300" s="22">
        <f>IF(C280="","",IFERROR(ROUND(C280/(1+C299),2),""))</f>
        <v/>
      </c>
    </row>
    <row r="301">
      <c r="B301" s="21" t="inlineStr">
        <is>
          <t>原価率</t>
        </is>
      </c>
      <c r="C301" s="26">
        <f>IFERROR(IF(OR(C300="",C300=0),"",ROUND(C297/C300,4)),"")</f>
        <v/>
      </c>
      <c r="D301" s="7" t="inlineStr">
        <is>
          <t>判定［自動］</t>
        </is>
      </c>
      <c r="E301" s="27">
        <f>IF(C301="",IF(C279="","","売価を入力"),IF(C301&gt;C298,"超過","目標内"))</f>
        <v/>
      </c>
    </row>
    <row r="302">
      <c r="B302" s="23" t="inlineStr">
        <is>
          <t>目標との差（＋は目標超過）</t>
        </is>
      </c>
      <c r="C302" s="28">
        <f>IF(C301="","",ROUND(C301-C298,4))</f>
        <v/>
      </c>
    </row>
    <row r="303" ht="30" customHeight="1">
      <c r="B303" s="21" t="inlineStr">
        <is>
          <t>推奨売価（税込・円／目標原価率から逆算、10円単位で切り上げ）</t>
        </is>
      </c>
      <c r="C303" s="29">
        <f>IFERROR(IF(OR(C297=0,C298=0),"",ROUNDUP(ROUND(C297/C298*(1+C299),2)/10,0)*10),"")</f>
        <v/>
      </c>
    </row>
    <row r="304">
      <c r="A304" s="15" t="inlineStr">
        <is>
          <t>メニュー13</t>
        </is>
      </c>
      <c r="B304" s="16" t="inlineStr">
        <is>
          <t>【入力】メニュー名</t>
        </is>
      </c>
      <c r="C304" s="8" t="n"/>
      <c r="D304" s="17" t="n"/>
      <c r="E304" s="17" t="n"/>
      <c r="F304" s="17" t="n"/>
      <c r="G304" s="18" t="n"/>
    </row>
    <row r="305">
      <c r="B305" s="7" t="inlineStr">
        <is>
          <t>【入力】販売価格（税込・円）</t>
        </is>
      </c>
      <c r="C305" s="9" t="n"/>
      <c r="D305" s="19" t="inlineStr">
        <is>
          <t>【入力】目標原価率（空欄=設定値）</t>
        </is>
      </c>
      <c r="E305" s="10" t="n"/>
      <c r="F305" s="19" t="inlineStr">
        <is>
          <t>【入力】売価の税率（空欄=設定値）</t>
        </is>
      </c>
      <c r="G305" s="10" t="n"/>
    </row>
    <row r="306" ht="32" customHeight="1">
      <c r="A306" s="20" t="inlineStr">
        <is>
          <t>No</t>
        </is>
      </c>
      <c r="B306" s="20" t="inlineStr">
        <is>
          <t>【入力】材料名（リストから選ぶ）</t>
        </is>
      </c>
      <c r="C306" s="20" t="inlineStr">
        <is>
          <t>【入力】使用量</t>
        </is>
      </c>
      <c r="D306" s="20" t="inlineStr">
        <is>
          <t>単位［自動］</t>
        </is>
      </c>
      <c r="E306" s="20" t="inlineStr">
        <is>
          <t>単価（税抜・円/単位）［自動］</t>
        </is>
      </c>
      <c r="F306" s="20" t="inlineStr">
        <is>
          <t>原価（円）［自動］</t>
        </is>
      </c>
      <c r="G306" s="20" t="inlineStr">
        <is>
          <t>チェック［自動］</t>
        </is>
      </c>
    </row>
    <row r="307">
      <c r="A307" s="7" t="n">
        <v>1</v>
      </c>
      <c r="B307" s="8" t="n"/>
      <c r="C307" s="11" t="n"/>
      <c r="D307" s="14">
        <f>IF(B307="","",IFERROR(VLOOKUP(B307,'材料マスタ'!$B$5:$L$104,7,FALSE)&amp;"",""))</f>
        <v/>
      </c>
      <c r="E307" s="13">
        <f>IF(B307="","",IFERROR(VLOOKUP(B307,'材料マスタ'!$B$5:$L$104,11,FALSE),""))</f>
        <v/>
      </c>
      <c r="F307" s="12">
        <f>IF(OR(B307="",C307=""),"",IFERROR(ROUND(C307*E307,2),""))</f>
        <v/>
      </c>
      <c r="G307" s="14">
        <f>IF(B307="","",IFERROR(IF(VLOOKUP(B307,'材料マスタ'!$B$5:$L$104,11,FALSE)="","材料マスタを確認",IF(C307="","使用量を入力","OK")),"未登録の材料"))</f>
        <v/>
      </c>
    </row>
    <row r="308">
      <c r="A308" s="7" t="n">
        <v>2</v>
      </c>
      <c r="B308" s="8" t="n"/>
      <c r="C308" s="11" t="n"/>
      <c r="D308" s="14">
        <f>IF(B308="","",IFERROR(VLOOKUP(B308,'材料マスタ'!$B$5:$L$104,7,FALSE)&amp;"",""))</f>
        <v/>
      </c>
      <c r="E308" s="13">
        <f>IF(B308="","",IFERROR(VLOOKUP(B308,'材料マスタ'!$B$5:$L$104,11,FALSE),""))</f>
        <v/>
      </c>
      <c r="F308" s="12">
        <f>IF(OR(B308="",C308=""),"",IFERROR(ROUND(C308*E308,2),""))</f>
        <v/>
      </c>
      <c r="G308" s="14">
        <f>IF(B308="","",IFERROR(IF(VLOOKUP(B308,'材料マスタ'!$B$5:$L$104,11,FALSE)="","材料マスタを確認",IF(C308="","使用量を入力","OK")),"未登録の材料"))</f>
        <v/>
      </c>
    </row>
    <row r="309">
      <c r="A309" s="7" t="n">
        <v>3</v>
      </c>
      <c r="B309" s="8" t="n"/>
      <c r="C309" s="11" t="n"/>
      <c r="D309" s="14">
        <f>IF(B309="","",IFERROR(VLOOKUP(B309,'材料マスタ'!$B$5:$L$104,7,FALSE)&amp;"",""))</f>
        <v/>
      </c>
      <c r="E309" s="13">
        <f>IF(B309="","",IFERROR(VLOOKUP(B309,'材料マスタ'!$B$5:$L$104,11,FALSE),""))</f>
        <v/>
      </c>
      <c r="F309" s="12">
        <f>IF(OR(B309="",C309=""),"",IFERROR(ROUND(C309*E309,2),""))</f>
        <v/>
      </c>
      <c r="G309" s="14">
        <f>IF(B309="","",IFERROR(IF(VLOOKUP(B309,'材料マスタ'!$B$5:$L$104,11,FALSE)="","材料マスタを確認",IF(C309="","使用量を入力","OK")),"未登録の材料"))</f>
        <v/>
      </c>
    </row>
    <row r="310">
      <c r="A310" s="7" t="n">
        <v>4</v>
      </c>
      <c r="B310" s="8" t="n"/>
      <c r="C310" s="11" t="n"/>
      <c r="D310" s="14">
        <f>IF(B310="","",IFERROR(VLOOKUP(B310,'材料マスタ'!$B$5:$L$104,7,FALSE)&amp;"",""))</f>
        <v/>
      </c>
      <c r="E310" s="13">
        <f>IF(B310="","",IFERROR(VLOOKUP(B310,'材料マスタ'!$B$5:$L$104,11,FALSE),""))</f>
        <v/>
      </c>
      <c r="F310" s="12">
        <f>IF(OR(B310="",C310=""),"",IFERROR(ROUND(C310*E310,2),""))</f>
        <v/>
      </c>
      <c r="G310" s="14">
        <f>IF(B310="","",IFERROR(IF(VLOOKUP(B310,'材料マスタ'!$B$5:$L$104,11,FALSE)="","材料マスタを確認",IF(C310="","使用量を入力","OK")),"未登録の材料"))</f>
        <v/>
      </c>
    </row>
    <row r="311">
      <c r="A311" s="7" t="n">
        <v>5</v>
      </c>
      <c r="B311" s="8" t="n"/>
      <c r="C311" s="11" t="n"/>
      <c r="D311" s="14">
        <f>IF(B311="","",IFERROR(VLOOKUP(B311,'材料マスタ'!$B$5:$L$104,7,FALSE)&amp;"",""))</f>
        <v/>
      </c>
      <c r="E311" s="13">
        <f>IF(B311="","",IFERROR(VLOOKUP(B311,'材料マスタ'!$B$5:$L$104,11,FALSE),""))</f>
        <v/>
      </c>
      <c r="F311" s="12">
        <f>IF(OR(B311="",C311=""),"",IFERROR(ROUND(C311*E311,2),""))</f>
        <v/>
      </c>
      <c r="G311" s="14">
        <f>IF(B311="","",IFERROR(IF(VLOOKUP(B311,'材料マスタ'!$B$5:$L$104,11,FALSE)="","材料マスタを確認",IF(C311="","使用量を入力","OK")),"未登録の材料"))</f>
        <v/>
      </c>
    </row>
    <row r="312">
      <c r="A312" s="7" t="n">
        <v>6</v>
      </c>
      <c r="B312" s="8" t="n"/>
      <c r="C312" s="11" t="n"/>
      <c r="D312" s="14">
        <f>IF(B312="","",IFERROR(VLOOKUP(B312,'材料マスタ'!$B$5:$L$104,7,FALSE)&amp;"",""))</f>
        <v/>
      </c>
      <c r="E312" s="13">
        <f>IF(B312="","",IFERROR(VLOOKUP(B312,'材料マスタ'!$B$5:$L$104,11,FALSE),""))</f>
        <v/>
      </c>
      <c r="F312" s="12">
        <f>IF(OR(B312="",C312=""),"",IFERROR(ROUND(C312*E312,2),""))</f>
        <v/>
      </c>
      <c r="G312" s="14">
        <f>IF(B312="","",IFERROR(IF(VLOOKUP(B312,'材料マスタ'!$B$5:$L$104,11,FALSE)="","材料マスタを確認",IF(C312="","使用量を入力","OK")),"未登録の材料"))</f>
        <v/>
      </c>
    </row>
    <row r="313">
      <c r="A313" s="7" t="n">
        <v>7</v>
      </c>
      <c r="B313" s="8" t="n"/>
      <c r="C313" s="11" t="n"/>
      <c r="D313" s="14">
        <f>IF(B313="","",IFERROR(VLOOKUP(B313,'材料マスタ'!$B$5:$L$104,7,FALSE)&amp;"",""))</f>
        <v/>
      </c>
      <c r="E313" s="13">
        <f>IF(B313="","",IFERROR(VLOOKUP(B313,'材料マスタ'!$B$5:$L$104,11,FALSE),""))</f>
        <v/>
      </c>
      <c r="F313" s="12">
        <f>IF(OR(B313="",C313=""),"",IFERROR(ROUND(C313*E313,2),""))</f>
        <v/>
      </c>
      <c r="G313" s="14">
        <f>IF(B313="","",IFERROR(IF(VLOOKUP(B313,'材料マスタ'!$B$5:$L$104,11,FALSE)="","材料マスタを確認",IF(C313="","使用量を入力","OK")),"未登録の材料"))</f>
        <v/>
      </c>
    </row>
    <row r="314">
      <c r="A314" s="7" t="n">
        <v>8</v>
      </c>
      <c r="B314" s="8" t="n"/>
      <c r="C314" s="11" t="n"/>
      <c r="D314" s="14">
        <f>IF(B314="","",IFERROR(VLOOKUP(B314,'材料マスタ'!$B$5:$L$104,7,FALSE)&amp;"",""))</f>
        <v/>
      </c>
      <c r="E314" s="13">
        <f>IF(B314="","",IFERROR(VLOOKUP(B314,'材料マスタ'!$B$5:$L$104,11,FALSE),""))</f>
        <v/>
      </c>
      <c r="F314" s="12">
        <f>IF(OR(B314="",C314=""),"",IFERROR(ROUND(C314*E314,2),""))</f>
        <v/>
      </c>
      <c r="G314" s="14">
        <f>IF(B314="","",IFERROR(IF(VLOOKUP(B314,'材料マスタ'!$B$5:$L$104,11,FALSE)="","材料マスタを確認",IF(C314="","使用量を入力","OK")),"未登録の材料"))</f>
        <v/>
      </c>
    </row>
    <row r="315">
      <c r="A315" s="7" t="n">
        <v>9</v>
      </c>
      <c r="B315" s="8" t="n"/>
      <c r="C315" s="11" t="n"/>
      <c r="D315" s="14">
        <f>IF(B315="","",IFERROR(VLOOKUP(B315,'材料マスタ'!$B$5:$L$104,7,FALSE)&amp;"",""))</f>
        <v/>
      </c>
      <c r="E315" s="13">
        <f>IF(B315="","",IFERROR(VLOOKUP(B315,'材料マスタ'!$B$5:$L$104,11,FALSE),""))</f>
        <v/>
      </c>
      <c r="F315" s="12">
        <f>IF(OR(B315="",C315=""),"",IFERROR(ROUND(C315*E315,2),""))</f>
        <v/>
      </c>
      <c r="G315" s="14">
        <f>IF(B315="","",IFERROR(IF(VLOOKUP(B315,'材料マスタ'!$B$5:$L$104,11,FALSE)="","材料マスタを確認",IF(C315="","使用量を入力","OK")),"未登録の材料"))</f>
        <v/>
      </c>
    </row>
    <row r="316">
      <c r="A316" s="7" t="n">
        <v>10</v>
      </c>
      <c r="B316" s="8" t="n"/>
      <c r="C316" s="11" t="n"/>
      <c r="D316" s="14">
        <f>IF(B316="","",IFERROR(VLOOKUP(B316,'材料マスタ'!$B$5:$L$104,7,FALSE)&amp;"",""))</f>
        <v/>
      </c>
      <c r="E316" s="13">
        <f>IF(B316="","",IFERROR(VLOOKUP(B316,'材料マスタ'!$B$5:$L$104,11,FALSE),""))</f>
        <v/>
      </c>
      <c r="F316" s="12">
        <f>IF(OR(B316="",C316=""),"",IFERROR(ROUND(C316*E316,2),""))</f>
        <v/>
      </c>
      <c r="G316" s="14">
        <f>IF(B316="","",IFERROR(IF(VLOOKUP(B316,'材料マスタ'!$B$5:$L$104,11,FALSE)="","材料マスタを確認",IF(C316="","使用量を入力","OK")),"未登録の材料"))</f>
        <v/>
      </c>
    </row>
    <row r="317">
      <c r="A317" s="7" t="n">
        <v>11</v>
      </c>
      <c r="B317" s="8" t="n"/>
      <c r="C317" s="11" t="n"/>
      <c r="D317" s="14">
        <f>IF(B317="","",IFERROR(VLOOKUP(B317,'材料マスタ'!$B$5:$L$104,7,FALSE)&amp;"",""))</f>
        <v/>
      </c>
      <c r="E317" s="13">
        <f>IF(B317="","",IFERROR(VLOOKUP(B317,'材料マスタ'!$B$5:$L$104,11,FALSE),""))</f>
        <v/>
      </c>
      <c r="F317" s="12">
        <f>IF(OR(B317="",C317=""),"",IFERROR(ROUND(C317*E317,2),""))</f>
        <v/>
      </c>
      <c r="G317" s="14">
        <f>IF(B317="","",IFERROR(IF(VLOOKUP(B317,'材料マスタ'!$B$5:$L$104,11,FALSE)="","材料マスタを確認",IF(C317="","使用量を入力","OK")),"未登録の材料"))</f>
        <v/>
      </c>
    </row>
    <row r="318">
      <c r="A318" s="7" t="n">
        <v>12</v>
      </c>
      <c r="B318" s="8" t="n"/>
      <c r="C318" s="11" t="n"/>
      <c r="D318" s="14">
        <f>IF(B318="","",IFERROR(VLOOKUP(B318,'材料マスタ'!$B$5:$L$104,7,FALSE)&amp;"",""))</f>
        <v/>
      </c>
      <c r="E318" s="13">
        <f>IF(B318="","",IFERROR(VLOOKUP(B318,'材料マスタ'!$B$5:$L$104,11,FALSE),""))</f>
        <v/>
      </c>
      <c r="F318" s="12">
        <f>IF(OR(B318="",C318=""),"",IFERROR(ROUND(C318*E318,2),""))</f>
        <v/>
      </c>
      <c r="G318" s="14">
        <f>IF(B318="","",IFERROR(IF(VLOOKUP(B318,'材料マスタ'!$B$5:$L$104,11,FALSE)="","材料マスタを確認",IF(C318="","使用量を入力","OK")),"未登録の材料"))</f>
        <v/>
      </c>
    </row>
    <row r="319">
      <c r="A319" s="7" t="n">
        <v>13</v>
      </c>
      <c r="B319" s="8" t="n"/>
      <c r="C319" s="11" t="n"/>
      <c r="D319" s="14">
        <f>IF(B319="","",IFERROR(VLOOKUP(B319,'材料マスタ'!$B$5:$L$104,7,FALSE)&amp;"",""))</f>
        <v/>
      </c>
      <c r="E319" s="13">
        <f>IF(B319="","",IFERROR(VLOOKUP(B319,'材料マスタ'!$B$5:$L$104,11,FALSE),""))</f>
        <v/>
      </c>
      <c r="F319" s="12">
        <f>IF(OR(B319="",C319=""),"",IFERROR(ROUND(C319*E319,2),""))</f>
        <v/>
      </c>
      <c r="G319" s="14">
        <f>IF(B319="","",IFERROR(IF(VLOOKUP(B319,'材料マスタ'!$B$5:$L$104,11,FALSE)="","材料マスタを確認",IF(C319="","使用量を入力","OK")),"未登録の材料"))</f>
        <v/>
      </c>
    </row>
    <row r="320">
      <c r="A320" s="7" t="n">
        <v>14</v>
      </c>
      <c r="B320" s="8" t="n"/>
      <c r="C320" s="11" t="n"/>
      <c r="D320" s="14">
        <f>IF(B320="","",IFERROR(VLOOKUP(B320,'材料マスタ'!$B$5:$L$104,7,FALSE)&amp;"",""))</f>
        <v/>
      </c>
      <c r="E320" s="13">
        <f>IF(B320="","",IFERROR(VLOOKUP(B320,'材料マスタ'!$B$5:$L$104,11,FALSE),""))</f>
        <v/>
      </c>
      <c r="F320" s="12">
        <f>IF(OR(B320="",C320=""),"",IFERROR(ROUND(C320*E320,2),""))</f>
        <v/>
      </c>
      <c r="G320" s="14">
        <f>IF(B320="","",IFERROR(IF(VLOOKUP(B320,'材料マスタ'!$B$5:$L$104,11,FALSE)="","材料マスタを確認",IF(C320="","使用量を入力","OK")),"未登録の材料"))</f>
        <v/>
      </c>
    </row>
    <row r="321">
      <c r="A321" s="7" t="n">
        <v>15</v>
      </c>
      <c r="B321" s="8" t="n"/>
      <c r="C321" s="11" t="n"/>
      <c r="D321" s="14">
        <f>IF(B321="","",IFERROR(VLOOKUP(B321,'材料マスタ'!$B$5:$L$104,7,FALSE)&amp;"",""))</f>
        <v/>
      </c>
      <c r="E321" s="13">
        <f>IF(B321="","",IFERROR(VLOOKUP(B321,'材料マスタ'!$B$5:$L$104,11,FALSE),""))</f>
        <v/>
      </c>
      <c r="F321" s="12">
        <f>IF(OR(B321="",C321=""),"",IFERROR(ROUND(C321*E321,2),""))</f>
        <v/>
      </c>
      <c r="G321" s="14">
        <f>IF(B321="","",IFERROR(IF(VLOOKUP(B321,'材料マスタ'!$B$5:$L$104,11,FALSE)="","材料マスタを確認",IF(C321="","使用量を入力","OK")),"未登録の材料"))</f>
        <v/>
      </c>
    </row>
    <row r="322">
      <c r="B322" s="21" t="inlineStr">
        <is>
          <t>合計原価（税抜・円）</t>
        </is>
      </c>
      <c r="C322" s="22">
        <f>SUM(F307:F321)</f>
        <v/>
      </c>
    </row>
    <row r="323">
      <c r="B323" s="23" t="inlineStr">
        <is>
          <t>目標原価率（適用値）</t>
        </is>
      </c>
      <c r="C323" s="24">
        <f>IF(E305="",'設定'!$C$4,IF(E305&gt;1,E305/100,E305))</f>
        <v/>
      </c>
    </row>
    <row r="324">
      <c r="B324" s="23" t="inlineStr">
        <is>
          <t>売価の税率（適用値）</t>
        </is>
      </c>
      <c r="C324" s="25">
        <f>IF(G305="",'設定'!$C$5,IF(G305&gt;=1,G305/100,G305))</f>
        <v/>
      </c>
    </row>
    <row r="325">
      <c r="B325" s="23" t="inlineStr">
        <is>
          <t>税抜売価（円）</t>
        </is>
      </c>
      <c r="C325" s="22">
        <f>IF(C305="","",IFERROR(ROUND(C305/(1+C324),2),""))</f>
        <v/>
      </c>
    </row>
    <row r="326">
      <c r="B326" s="21" t="inlineStr">
        <is>
          <t>原価率</t>
        </is>
      </c>
      <c r="C326" s="26">
        <f>IFERROR(IF(OR(C325="",C325=0),"",ROUND(C322/C325,4)),"")</f>
        <v/>
      </c>
      <c r="D326" s="7" t="inlineStr">
        <is>
          <t>判定［自動］</t>
        </is>
      </c>
      <c r="E326" s="27">
        <f>IF(C326="",IF(C304="","","売価を入力"),IF(C326&gt;C323,"超過","目標内"))</f>
        <v/>
      </c>
    </row>
    <row r="327">
      <c r="B327" s="23" t="inlineStr">
        <is>
          <t>目標との差（＋は目標超過）</t>
        </is>
      </c>
      <c r="C327" s="28">
        <f>IF(C326="","",ROUND(C326-C323,4))</f>
        <v/>
      </c>
    </row>
    <row r="328" ht="30" customHeight="1">
      <c r="B328" s="21" t="inlineStr">
        <is>
          <t>推奨売価（税込・円／目標原価率から逆算、10円単位で切り上げ）</t>
        </is>
      </c>
      <c r="C328" s="29">
        <f>IFERROR(IF(OR(C322=0,C323=0),"",ROUNDUP(ROUND(C322/C323*(1+C324),2)/10,0)*10),"")</f>
        <v/>
      </c>
    </row>
    <row r="329">
      <c r="A329" s="15" t="inlineStr">
        <is>
          <t>メニュー14</t>
        </is>
      </c>
      <c r="B329" s="16" t="inlineStr">
        <is>
          <t>【入力】メニュー名</t>
        </is>
      </c>
      <c r="C329" s="8" t="n"/>
      <c r="D329" s="17" t="n"/>
      <c r="E329" s="17" t="n"/>
      <c r="F329" s="17" t="n"/>
      <c r="G329" s="18" t="n"/>
    </row>
    <row r="330">
      <c r="B330" s="7" t="inlineStr">
        <is>
          <t>【入力】販売価格（税込・円）</t>
        </is>
      </c>
      <c r="C330" s="9" t="n"/>
      <c r="D330" s="19" t="inlineStr">
        <is>
          <t>【入力】目標原価率（空欄=設定値）</t>
        </is>
      </c>
      <c r="E330" s="10" t="n"/>
      <c r="F330" s="19" t="inlineStr">
        <is>
          <t>【入力】売価の税率（空欄=設定値）</t>
        </is>
      </c>
      <c r="G330" s="10" t="n"/>
    </row>
    <row r="331" ht="32" customHeight="1">
      <c r="A331" s="20" t="inlineStr">
        <is>
          <t>No</t>
        </is>
      </c>
      <c r="B331" s="20" t="inlineStr">
        <is>
          <t>【入力】材料名（リストから選ぶ）</t>
        </is>
      </c>
      <c r="C331" s="20" t="inlineStr">
        <is>
          <t>【入力】使用量</t>
        </is>
      </c>
      <c r="D331" s="20" t="inlineStr">
        <is>
          <t>単位［自動］</t>
        </is>
      </c>
      <c r="E331" s="20" t="inlineStr">
        <is>
          <t>単価（税抜・円/単位）［自動］</t>
        </is>
      </c>
      <c r="F331" s="20" t="inlineStr">
        <is>
          <t>原価（円）［自動］</t>
        </is>
      </c>
      <c r="G331" s="20" t="inlineStr">
        <is>
          <t>チェック［自動］</t>
        </is>
      </c>
    </row>
    <row r="332">
      <c r="A332" s="7" t="n">
        <v>1</v>
      </c>
      <c r="B332" s="8" t="n"/>
      <c r="C332" s="11" t="n"/>
      <c r="D332" s="14">
        <f>IF(B332="","",IFERROR(VLOOKUP(B332,'材料マスタ'!$B$5:$L$104,7,FALSE)&amp;"",""))</f>
        <v/>
      </c>
      <c r="E332" s="13">
        <f>IF(B332="","",IFERROR(VLOOKUP(B332,'材料マスタ'!$B$5:$L$104,11,FALSE),""))</f>
        <v/>
      </c>
      <c r="F332" s="12">
        <f>IF(OR(B332="",C332=""),"",IFERROR(ROUND(C332*E332,2),""))</f>
        <v/>
      </c>
      <c r="G332" s="14">
        <f>IF(B332="","",IFERROR(IF(VLOOKUP(B332,'材料マスタ'!$B$5:$L$104,11,FALSE)="","材料マスタを確認",IF(C332="","使用量を入力","OK")),"未登録の材料"))</f>
        <v/>
      </c>
    </row>
    <row r="333">
      <c r="A333" s="7" t="n">
        <v>2</v>
      </c>
      <c r="B333" s="8" t="n"/>
      <c r="C333" s="11" t="n"/>
      <c r="D333" s="14">
        <f>IF(B333="","",IFERROR(VLOOKUP(B333,'材料マスタ'!$B$5:$L$104,7,FALSE)&amp;"",""))</f>
        <v/>
      </c>
      <c r="E333" s="13">
        <f>IF(B333="","",IFERROR(VLOOKUP(B333,'材料マスタ'!$B$5:$L$104,11,FALSE),""))</f>
        <v/>
      </c>
      <c r="F333" s="12">
        <f>IF(OR(B333="",C333=""),"",IFERROR(ROUND(C333*E333,2),""))</f>
        <v/>
      </c>
      <c r="G333" s="14">
        <f>IF(B333="","",IFERROR(IF(VLOOKUP(B333,'材料マスタ'!$B$5:$L$104,11,FALSE)="","材料マスタを確認",IF(C333="","使用量を入力","OK")),"未登録の材料"))</f>
        <v/>
      </c>
    </row>
    <row r="334">
      <c r="A334" s="7" t="n">
        <v>3</v>
      </c>
      <c r="B334" s="8" t="n"/>
      <c r="C334" s="11" t="n"/>
      <c r="D334" s="14">
        <f>IF(B334="","",IFERROR(VLOOKUP(B334,'材料マスタ'!$B$5:$L$104,7,FALSE)&amp;"",""))</f>
        <v/>
      </c>
      <c r="E334" s="13">
        <f>IF(B334="","",IFERROR(VLOOKUP(B334,'材料マスタ'!$B$5:$L$104,11,FALSE),""))</f>
        <v/>
      </c>
      <c r="F334" s="12">
        <f>IF(OR(B334="",C334=""),"",IFERROR(ROUND(C334*E334,2),""))</f>
        <v/>
      </c>
      <c r="G334" s="14">
        <f>IF(B334="","",IFERROR(IF(VLOOKUP(B334,'材料マスタ'!$B$5:$L$104,11,FALSE)="","材料マスタを確認",IF(C334="","使用量を入力","OK")),"未登録の材料"))</f>
        <v/>
      </c>
    </row>
    <row r="335">
      <c r="A335" s="7" t="n">
        <v>4</v>
      </c>
      <c r="B335" s="8" t="n"/>
      <c r="C335" s="11" t="n"/>
      <c r="D335" s="14">
        <f>IF(B335="","",IFERROR(VLOOKUP(B335,'材料マスタ'!$B$5:$L$104,7,FALSE)&amp;"",""))</f>
        <v/>
      </c>
      <c r="E335" s="13">
        <f>IF(B335="","",IFERROR(VLOOKUP(B335,'材料マスタ'!$B$5:$L$104,11,FALSE),""))</f>
        <v/>
      </c>
      <c r="F335" s="12">
        <f>IF(OR(B335="",C335=""),"",IFERROR(ROUND(C335*E335,2),""))</f>
        <v/>
      </c>
      <c r="G335" s="14">
        <f>IF(B335="","",IFERROR(IF(VLOOKUP(B335,'材料マスタ'!$B$5:$L$104,11,FALSE)="","材料マスタを確認",IF(C335="","使用量を入力","OK")),"未登録の材料"))</f>
        <v/>
      </c>
    </row>
    <row r="336">
      <c r="A336" s="7" t="n">
        <v>5</v>
      </c>
      <c r="B336" s="8" t="n"/>
      <c r="C336" s="11" t="n"/>
      <c r="D336" s="14">
        <f>IF(B336="","",IFERROR(VLOOKUP(B336,'材料マスタ'!$B$5:$L$104,7,FALSE)&amp;"",""))</f>
        <v/>
      </c>
      <c r="E336" s="13">
        <f>IF(B336="","",IFERROR(VLOOKUP(B336,'材料マスタ'!$B$5:$L$104,11,FALSE),""))</f>
        <v/>
      </c>
      <c r="F336" s="12">
        <f>IF(OR(B336="",C336=""),"",IFERROR(ROUND(C336*E336,2),""))</f>
        <v/>
      </c>
      <c r="G336" s="14">
        <f>IF(B336="","",IFERROR(IF(VLOOKUP(B336,'材料マスタ'!$B$5:$L$104,11,FALSE)="","材料マスタを確認",IF(C336="","使用量を入力","OK")),"未登録の材料"))</f>
        <v/>
      </c>
    </row>
    <row r="337">
      <c r="A337" s="7" t="n">
        <v>6</v>
      </c>
      <c r="B337" s="8" t="n"/>
      <c r="C337" s="11" t="n"/>
      <c r="D337" s="14">
        <f>IF(B337="","",IFERROR(VLOOKUP(B337,'材料マスタ'!$B$5:$L$104,7,FALSE)&amp;"",""))</f>
        <v/>
      </c>
      <c r="E337" s="13">
        <f>IF(B337="","",IFERROR(VLOOKUP(B337,'材料マスタ'!$B$5:$L$104,11,FALSE),""))</f>
        <v/>
      </c>
      <c r="F337" s="12">
        <f>IF(OR(B337="",C337=""),"",IFERROR(ROUND(C337*E337,2),""))</f>
        <v/>
      </c>
      <c r="G337" s="14">
        <f>IF(B337="","",IFERROR(IF(VLOOKUP(B337,'材料マスタ'!$B$5:$L$104,11,FALSE)="","材料マスタを確認",IF(C337="","使用量を入力","OK")),"未登録の材料"))</f>
        <v/>
      </c>
    </row>
    <row r="338">
      <c r="A338" s="7" t="n">
        <v>7</v>
      </c>
      <c r="B338" s="8" t="n"/>
      <c r="C338" s="11" t="n"/>
      <c r="D338" s="14">
        <f>IF(B338="","",IFERROR(VLOOKUP(B338,'材料マスタ'!$B$5:$L$104,7,FALSE)&amp;"",""))</f>
        <v/>
      </c>
      <c r="E338" s="13">
        <f>IF(B338="","",IFERROR(VLOOKUP(B338,'材料マスタ'!$B$5:$L$104,11,FALSE),""))</f>
        <v/>
      </c>
      <c r="F338" s="12">
        <f>IF(OR(B338="",C338=""),"",IFERROR(ROUND(C338*E338,2),""))</f>
        <v/>
      </c>
      <c r="G338" s="14">
        <f>IF(B338="","",IFERROR(IF(VLOOKUP(B338,'材料マスタ'!$B$5:$L$104,11,FALSE)="","材料マスタを確認",IF(C338="","使用量を入力","OK")),"未登録の材料"))</f>
        <v/>
      </c>
    </row>
    <row r="339">
      <c r="A339" s="7" t="n">
        <v>8</v>
      </c>
      <c r="B339" s="8" t="n"/>
      <c r="C339" s="11" t="n"/>
      <c r="D339" s="14">
        <f>IF(B339="","",IFERROR(VLOOKUP(B339,'材料マスタ'!$B$5:$L$104,7,FALSE)&amp;"",""))</f>
        <v/>
      </c>
      <c r="E339" s="13">
        <f>IF(B339="","",IFERROR(VLOOKUP(B339,'材料マスタ'!$B$5:$L$104,11,FALSE),""))</f>
        <v/>
      </c>
      <c r="F339" s="12">
        <f>IF(OR(B339="",C339=""),"",IFERROR(ROUND(C339*E339,2),""))</f>
        <v/>
      </c>
      <c r="G339" s="14">
        <f>IF(B339="","",IFERROR(IF(VLOOKUP(B339,'材料マスタ'!$B$5:$L$104,11,FALSE)="","材料マスタを確認",IF(C339="","使用量を入力","OK")),"未登録の材料"))</f>
        <v/>
      </c>
    </row>
    <row r="340">
      <c r="A340" s="7" t="n">
        <v>9</v>
      </c>
      <c r="B340" s="8" t="n"/>
      <c r="C340" s="11" t="n"/>
      <c r="D340" s="14">
        <f>IF(B340="","",IFERROR(VLOOKUP(B340,'材料マスタ'!$B$5:$L$104,7,FALSE)&amp;"",""))</f>
        <v/>
      </c>
      <c r="E340" s="13">
        <f>IF(B340="","",IFERROR(VLOOKUP(B340,'材料マスタ'!$B$5:$L$104,11,FALSE),""))</f>
        <v/>
      </c>
      <c r="F340" s="12">
        <f>IF(OR(B340="",C340=""),"",IFERROR(ROUND(C340*E340,2),""))</f>
        <v/>
      </c>
      <c r="G340" s="14">
        <f>IF(B340="","",IFERROR(IF(VLOOKUP(B340,'材料マスタ'!$B$5:$L$104,11,FALSE)="","材料マスタを確認",IF(C340="","使用量を入力","OK")),"未登録の材料"))</f>
        <v/>
      </c>
    </row>
    <row r="341">
      <c r="A341" s="7" t="n">
        <v>10</v>
      </c>
      <c r="B341" s="8" t="n"/>
      <c r="C341" s="11" t="n"/>
      <c r="D341" s="14">
        <f>IF(B341="","",IFERROR(VLOOKUP(B341,'材料マスタ'!$B$5:$L$104,7,FALSE)&amp;"",""))</f>
        <v/>
      </c>
      <c r="E341" s="13">
        <f>IF(B341="","",IFERROR(VLOOKUP(B341,'材料マスタ'!$B$5:$L$104,11,FALSE),""))</f>
        <v/>
      </c>
      <c r="F341" s="12">
        <f>IF(OR(B341="",C341=""),"",IFERROR(ROUND(C341*E341,2),""))</f>
        <v/>
      </c>
      <c r="G341" s="14">
        <f>IF(B341="","",IFERROR(IF(VLOOKUP(B341,'材料マスタ'!$B$5:$L$104,11,FALSE)="","材料マスタを確認",IF(C341="","使用量を入力","OK")),"未登録の材料"))</f>
        <v/>
      </c>
    </row>
    <row r="342">
      <c r="A342" s="7" t="n">
        <v>11</v>
      </c>
      <c r="B342" s="8" t="n"/>
      <c r="C342" s="11" t="n"/>
      <c r="D342" s="14">
        <f>IF(B342="","",IFERROR(VLOOKUP(B342,'材料マスタ'!$B$5:$L$104,7,FALSE)&amp;"",""))</f>
        <v/>
      </c>
      <c r="E342" s="13">
        <f>IF(B342="","",IFERROR(VLOOKUP(B342,'材料マスタ'!$B$5:$L$104,11,FALSE),""))</f>
        <v/>
      </c>
      <c r="F342" s="12">
        <f>IF(OR(B342="",C342=""),"",IFERROR(ROUND(C342*E342,2),""))</f>
        <v/>
      </c>
      <c r="G342" s="14">
        <f>IF(B342="","",IFERROR(IF(VLOOKUP(B342,'材料マスタ'!$B$5:$L$104,11,FALSE)="","材料マスタを確認",IF(C342="","使用量を入力","OK")),"未登録の材料"))</f>
        <v/>
      </c>
    </row>
    <row r="343">
      <c r="A343" s="7" t="n">
        <v>12</v>
      </c>
      <c r="B343" s="8" t="n"/>
      <c r="C343" s="11" t="n"/>
      <c r="D343" s="14">
        <f>IF(B343="","",IFERROR(VLOOKUP(B343,'材料マスタ'!$B$5:$L$104,7,FALSE)&amp;"",""))</f>
        <v/>
      </c>
      <c r="E343" s="13">
        <f>IF(B343="","",IFERROR(VLOOKUP(B343,'材料マスタ'!$B$5:$L$104,11,FALSE),""))</f>
        <v/>
      </c>
      <c r="F343" s="12">
        <f>IF(OR(B343="",C343=""),"",IFERROR(ROUND(C343*E343,2),""))</f>
        <v/>
      </c>
      <c r="G343" s="14">
        <f>IF(B343="","",IFERROR(IF(VLOOKUP(B343,'材料マスタ'!$B$5:$L$104,11,FALSE)="","材料マスタを確認",IF(C343="","使用量を入力","OK")),"未登録の材料"))</f>
        <v/>
      </c>
    </row>
    <row r="344">
      <c r="A344" s="7" t="n">
        <v>13</v>
      </c>
      <c r="B344" s="8" t="n"/>
      <c r="C344" s="11" t="n"/>
      <c r="D344" s="14">
        <f>IF(B344="","",IFERROR(VLOOKUP(B344,'材料マスタ'!$B$5:$L$104,7,FALSE)&amp;"",""))</f>
        <v/>
      </c>
      <c r="E344" s="13">
        <f>IF(B344="","",IFERROR(VLOOKUP(B344,'材料マスタ'!$B$5:$L$104,11,FALSE),""))</f>
        <v/>
      </c>
      <c r="F344" s="12">
        <f>IF(OR(B344="",C344=""),"",IFERROR(ROUND(C344*E344,2),""))</f>
        <v/>
      </c>
      <c r="G344" s="14">
        <f>IF(B344="","",IFERROR(IF(VLOOKUP(B344,'材料マスタ'!$B$5:$L$104,11,FALSE)="","材料マスタを確認",IF(C344="","使用量を入力","OK")),"未登録の材料"))</f>
        <v/>
      </c>
    </row>
    <row r="345">
      <c r="A345" s="7" t="n">
        <v>14</v>
      </c>
      <c r="B345" s="8" t="n"/>
      <c r="C345" s="11" t="n"/>
      <c r="D345" s="14">
        <f>IF(B345="","",IFERROR(VLOOKUP(B345,'材料マスタ'!$B$5:$L$104,7,FALSE)&amp;"",""))</f>
        <v/>
      </c>
      <c r="E345" s="13">
        <f>IF(B345="","",IFERROR(VLOOKUP(B345,'材料マスタ'!$B$5:$L$104,11,FALSE),""))</f>
        <v/>
      </c>
      <c r="F345" s="12">
        <f>IF(OR(B345="",C345=""),"",IFERROR(ROUND(C345*E345,2),""))</f>
        <v/>
      </c>
      <c r="G345" s="14">
        <f>IF(B345="","",IFERROR(IF(VLOOKUP(B345,'材料マスタ'!$B$5:$L$104,11,FALSE)="","材料マスタを確認",IF(C345="","使用量を入力","OK")),"未登録の材料"))</f>
        <v/>
      </c>
    </row>
    <row r="346">
      <c r="A346" s="7" t="n">
        <v>15</v>
      </c>
      <c r="B346" s="8" t="n"/>
      <c r="C346" s="11" t="n"/>
      <c r="D346" s="14">
        <f>IF(B346="","",IFERROR(VLOOKUP(B346,'材料マスタ'!$B$5:$L$104,7,FALSE)&amp;"",""))</f>
        <v/>
      </c>
      <c r="E346" s="13">
        <f>IF(B346="","",IFERROR(VLOOKUP(B346,'材料マスタ'!$B$5:$L$104,11,FALSE),""))</f>
        <v/>
      </c>
      <c r="F346" s="12">
        <f>IF(OR(B346="",C346=""),"",IFERROR(ROUND(C346*E346,2),""))</f>
        <v/>
      </c>
      <c r="G346" s="14">
        <f>IF(B346="","",IFERROR(IF(VLOOKUP(B346,'材料マスタ'!$B$5:$L$104,11,FALSE)="","材料マスタを確認",IF(C346="","使用量を入力","OK")),"未登録の材料"))</f>
        <v/>
      </c>
    </row>
    <row r="347">
      <c r="B347" s="21" t="inlineStr">
        <is>
          <t>合計原価（税抜・円）</t>
        </is>
      </c>
      <c r="C347" s="22">
        <f>SUM(F332:F346)</f>
        <v/>
      </c>
    </row>
    <row r="348">
      <c r="B348" s="23" t="inlineStr">
        <is>
          <t>目標原価率（適用値）</t>
        </is>
      </c>
      <c r="C348" s="24">
        <f>IF(E330="",'設定'!$C$4,IF(E330&gt;1,E330/100,E330))</f>
        <v/>
      </c>
    </row>
    <row r="349">
      <c r="B349" s="23" t="inlineStr">
        <is>
          <t>売価の税率（適用値）</t>
        </is>
      </c>
      <c r="C349" s="25">
        <f>IF(G330="",'設定'!$C$5,IF(G330&gt;=1,G330/100,G330))</f>
        <v/>
      </c>
    </row>
    <row r="350">
      <c r="B350" s="23" t="inlineStr">
        <is>
          <t>税抜売価（円）</t>
        </is>
      </c>
      <c r="C350" s="22">
        <f>IF(C330="","",IFERROR(ROUND(C330/(1+C349),2),""))</f>
        <v/>
      </c>
    </row>
    <row r="351">
      <c r="B351" s="21" t="inlineStr">
        <is>
          <t>原価率</t>
        </is>
      </c>
      <c r="C351" s="26">
        <f>IFERROR(IF(OR(C350="",C350=0),"",ROUND(C347/C350,4)),"")</f>
        <v/>
      </c>
      <c r="D351" s="7" t="inlineStr">
        <is>
          <t>判定［自動］</t>
        </is>
      </c>
      <c r="E351" s="27">
        <f>IF(C351="",IF(C329="","","売価を入力"),IF(C351&gt;C348,"超過","目標内"))</f>
        <v/>
      </c>
    </row>
    <row r="352">
      <c r="B352" s="23" t="inlineStr">
        <is>
          <t>目標との差（＋は目標超過）</t>
        </is>
      </c>
      <c r="C352" s="28">
        <f>IF(C351="","",ROUND(C351-C348,4))</f>
        <v/>
      </c>
    </row>
    <row r="353" ht="30" customHeight="1">
      <c r="B353" s="21" t="inlineStr">
        <is>
          <t>推奨売価（税込・円／目標原価率から逆算、10円単位で切り上げ）</t>
        </is>
      </c>
      <c r="C353" s="29">
        <f>IFERROR(IF(OR(C347=0,C348=0),"",ROUNDUP(ROUND(C347/C348*(1+C349),2)/10,0)*10),"")</f>
        <v/>
      </c>
    </row>
    <row r="354">
      <c r="A354" s="15" t="inlineStr">
        <is>
          <t>メニュー15</t>
        </is>
      </c>
      <c r="B354" s="16" t="inlineStr">
        <is>
          <t>【入力】メニュー名</t>
        </is>
      </c>
      <c r="C354" s="8" t="n"/>
      <c r="D354" s="17" t="n"/>
      <c r="E354" s="17" t="n"/>
      <c r="F354" s="17" t="n"/>
      <c r="G354" s="18" t="n"/>
    </row>
    <row r="355">
      <c r="B355" s="7" t="inlineStr">
        <is>
          <t>【入力】販売価格（税込・円）</t>
        </is>
      </c>
      <c r="C355" s="9" t="n"/>
      <c r="D355" s="19" t="inlineStr">
        <is>
          <t>【入力】目標原価率（空欄=設定値）</t>
        </is>
      </c>
      <c r="E355" s="10" t="n"/>
      <c r="F355" s="19" t="inlineStr">
        <is>
          <t>【入力】売価の税率（空欄=設定値）</t>
        </is>
      </c>
      <c r="G355" s="10" t="n"/>
    </row>
    <row r="356" ht="32" customHeight="1">
      <c r="A356" s="20" t="inlineStr">
        <is>
          <t>No</t>
        </is>
      </c>
      <c r="B356" s="20" t="inlineStr">
        <is>
          <t>【入力】材料名（リストから選ぶ）</t>
        </is>
      </c>
      <c r="C356" s="20" t="inlineStr">
        <is>
          <t>【入力】使用量</t>
        </is>
      </c>
      <c r="D356" s="20" t="inlineStr">
        <is>
          <t>単位［自動］</t>
        </is>
      </c>
      <c r="E356" s="20" t="inlineStr">
        <is>
          <t>単価（税抜・円/単位）［自動］</t>
        </is>
      </c>
      <c r="F356" s="20" t="inlineStr">
        <is>
          <t>原価（円）［自動］</t>
        </is>
      </c>
      <c r="G356" s="20" t="inlineStr">
        <is>
          <t>チェック［自動］</t>
        </is>
      </c>
    </row>
    <row r="357">
      <c r="A357" s="7" t="n">
        <v>1</v>
      </c>
      <c r="B357" s="8" t="n"/>
      <c r="C357" s="11" t="n"/>
      <c r="D357" s="14">
        <f>IF(B357="","",IFERROR(VLOOKUP(B357,'材料マスタ'!$B$5:$L$104,7,FALSE)&amp;"",""))</f>
        <v/>
      </c>
      <c r="E357" s="13">
        <f>IF(B357="","",IFERROR(VLOOKUP(B357,'材料マスタ'!$B$5:$L$104,11,FALSE),""))</f>
        <v/>
      </c>
      <c r="F357" s="12">
        <f>IF(OR(B357="",C357=""),"",IFERROR(ROUND(C357*E357,2),""))</f>
        <v/>
      </c>
      <c r="G357" s="14">
        <f>IF(B357="","",IFERROR(IF(VLOOKUP(B357,'材料マスタ'!$B$5:$L$104,11,FALSE)="","材料マスタを確認",IF(C357="","使用量を入力","OK")),"未登録の材料"))</f>
        <v/>
      </c>
    </row>
    <row r="358">
      <c r="A358" s="7" t="n">
        <v>2</v>
      </c>
      <c r="B358" s="8" t="n"/>
      <c r="C358" s="11" t="n"/>
      <c r="D358" s="14">
        <f>IF(B358="","",IFERROR(VLOOKUP(B358,'材料マスタ'!$B$5:$L$104,7,FALSE)&amp;"",""))</f>
        <v/>
      </c>
      <c r="E358" s="13">
        <f>IF(B358="","",IFERROR(VLOOKUP(B358,'材料マスタ'!$B$5:$L$104,11,FALSE),""))</f>
        <v/>
      </c>
      <c r="F358" s="12">
        <f>IF(OR(B358="",C358=""),"",IFERROR(ROUND(C358*E358,2),""))</f>
        <v/>
      </c>
      <c r="G358" s="14">
        <f>IF(B358="","",IFERROR(IF(VLOOKUP(B358,'材料マスタ'!$B$5:$L$104,11,FALSE)="","材料マスタを確認",IF(C358="","使用量を入力","OK")),"未登録の材料"))</f>
        <v/>
      </c>
    </row>
    <row r="359">
      <c r="A359" s="7" t="n">
        <v>3</v>
      </c>
      <c r="B359" s="8" t="n"/>
      <c r="C359" s="11" t="n"/>
      <c r="D359" s="14">
        <f>IF(B359="","",IFERROR(VLOOKUP(B359,'材料マスタ'!$B$5:$L$104,7,FALSE)&amp;"",""))</f>
        <v/>
      </c>
      <c r="E359" s="13">
        <f>IF(B359="","",IFERROR(VLOOKUP(B359,'材料マスタ'!$B$5:$L$104,11,FALSE),""))</f>
        <v/>
      </c>
      <c r="F359" s="12">
        <f>IF(OR(B359="",C359=""),"",IFERROR(ROUND(C359*E359,2),""))</f>
        <v/>
      </c>
      <c r="G359" s="14">
        <f>IF(B359="","",IFERROR(IF(VLOOKUP(B359,'材料マスタ'!$B$5:$L$104,11,FALSE)="","材料マスタを確認",IF(C359="","使用量を入力","OK")),"未登録の材料"))</f>
        <v/>
      </c>
    </row>
    <row r="360">
      <c r="A360" s="7" t="n">
        <v>4</v>
      </c>
      <c r="B360" s="8" t="n"/>
      <c r="C360" s="11" t="n"/>
      <c r="D360" s="14">
        <f>IF(B360="","",IFERROR(VLOOKUP(B360,'材料マスタ'!$B$5:$L$104,7,FALSE)&amp;"",""))</f>
        <v/>
      </c>
      <c r="E360" s="13">
        <f>IF(B360="","",IFERROR(VLOOKUP(B360,'材料マスタ'!$B$5:$L$104,11,FALSE),""))</f>
        <v/>
      </c>
      <c r="F360" s="12">
        <f>IF(OR(B360="",C360=""),"",IFERROR(ROUND(C360*E360,2),""))</f>
        <v/>
      </c>
      <c r="G360" s="14">
        <f>IF(B360="","",IFERROR(IF(VLOOKUP(B360,'材料マスタ'!$B$5:$L$104,11,FALSE)="","材料マスタを確認",IF(C360="","使用量を入力","OK")),"未登録の材料"))</f>
        <v/>
      </c>
    </row>
    <row r="361">
      <c r="A361" s="7" t="n">
        <v>5</v>
      </c>
      <c r="B361" s="8" t="n"/>
      <c r="C361" s="11" t="n"/>
      <c r="D361" s="14">
        <f>IF(B361="","",IFERROR(VLOOKUP(B361,'材料マスタ'!$B$5:$L$104,7,FALSE)&amp;"",""))</f>
        <v/>
      </c>
      <c r="E361" s="13">
        <f>IF(B361="","",IFERROR(VLOOKUP(B361,'材料マスタ'!$B$5:$L$104,11,FALSE),""))</f>
        <v/>
      </c>
      <c r="F361" s="12">
        <f>IF(OR(B361="",C361=""),"",IFERROR(ROUND(C361*E361,2),""))</f>
        <v/>
      </c>
      <c r="G361" s="14">
        <f>IF(B361="","",IFERROR(IF(VLOOKUP(B361,'材料マスタ'!$B$5:$L$104,11,FALSE)="","材料マスタを確認",IF(C361="","使用量を入力","OK")),"未登録の材料"))</f>
        <v/>
      </c>
    </row>
    <row r="362">
      <c r="A362" s="7" t="n">
        <v>6</v>
      </c>
      <c r="B362" s="8" t="n"/>
      <c r="C362" s="11" t="n"/>
      <c r="D362" s="14">
        <f>IF(B362="","",IFERROR(VLOOKUP(B362,'材料マスタ'!$B$5:$L$104,7,FALSE)&amp;"",""))</f>
        <v/>
      </c>
      <c r="E362" s="13">
        <f>IF(B362="","",IFERROR(VLOOKUP(B362,'材料マスタ'!$B$5:$L$104,11,FALSE),""))</f>
        <v/>
      </c>
      <c r="F362" s="12">
        <f>IF(OR(B362="",C362=""),"",IFERROR(ROUND(C362*E362,2),""))</f>
        <v/>
      </c>
      <c r="G362" s="14">
        <f>IF(B362="","",IFERROR(IF(VLOOKUP(B362,'材料マスタ'!$B$5:$L$104,11,FALSE)="","材料マスタを確認",IF(C362="","使用量を入力","OK")),"未登録の材料"))</f>
        <v/>
      </c>
    </row>
    <row r="363">
      <c r="A363" s="7" t="n">
        <v>7</v>
      </c>
      <c r="B363" s="8" t="n"/>
      <c r="C363" s="11" t="n"/>
      <c r="D363" s="14">
        <f>IF(B363="","",IFERROR(VLOOKUP(B363,'材料マスタ'!$B$5:$L$104,7,FALSE)&amp;"",""))</f>
        <v/>
      </c>
      <c r="E363" s="13">
        <f>IF(B363="","",IFERROR(VLOOKUP(B363,'材料マスタ'!$B$5:$L$104,11,FALSE),""))</f>
        <v/>
      </c>
      <c r="F363" s="12">
        <f>IF(OR(B363="",C363=""),"",IFERROR(ROUND(C363*E363,2),""))</f>
        <v/>
      </c>
      <c r="G363" s="14">
        <f>IF(B363="","",IFERROR(IF(VLOOKUP(B363,'材料マスタ'!$B$5:$L$104,11,FALSE)="","材料マスタを確認",IF(C363="","使用量を入力","OK")),"未登録の材料"))</f>
        <v/>
      </c>
    </row>
    <row r="364">
      <c r="A364" s="7" t="n">
        <v>8</v>
      </c>
      <c r="B364" s="8" t="n"/>
      <c r="C364" s="11" t="n"/>
      <c r="D364" s="14">
        <f>IF(B364="","",IFERROR(VLOOKUP(B364,'材料マスタ'!$B$5:$L$104,7,FALSE)&amp;"",""))</f>
        <v/>
      </c>
      <c r="E364" s="13">
        <f>IF(B364="","",IFERROR(VLOOKUP(B364,'材料マスタ'!$B$5:$L$104,11,FALSE),""))</f>
        <v/>
      </c>
      <c r="F364" s="12">
        <f>IF(OR(B364="",C364=""),"",IFERROR(ROUND(C364*E364,2),""))</f>
        <v/>
      </c>
      <c r="G364" s="14">
        <f>IF(B364="","",IFERROR(IF(VLOOKUP(B364,'材料マスタ'!$B$5:$L$104,11,FALSE)="","材料マスタを確認",IF(C364="","使用量を入力","OK")),"未登録の材料"))</f>
        <v/>
      </c>
    </row>
    <row r="365">
      <c r="A365" s="7" t="n">
        <v>9</v>
      </c>
      <c r="B365" s="8" t="n"/>
      <c r="C365" s="11" t="n"/>
      <c r="D365" s="14">
        <f>IF(B365="","",IFERROR(VLOOKUP(B365,'材料マスタ'!$B$5:$L$104,7,FALSE)&amp;"",""))</f>
        <v/>
      </c>
      <c r="E365" s="13">
        <f>IF(B365="","",IFERROR(VLOOKUP(B365,'材料マスタ'!$B$5:$L$104,11,FALSE),""))</f>
        <v/>
      </c>
      <c r="F365" s="12">
        <f>IF(OR(B365="",C365=""),"",IFERROR(ROUND(C365*E365,2),""))</f>
        <v/>
      </c>
      <c r="G365" s="14">
        <f>IF(B365="","",IFERROR(IF(VLOOKUP(B365,'材料マスタ'!$B$5:$L$104,11,FALSE)="","材料マスタを確認",IF(C365="","使用量を入力","OK")),"未登録の材料"))</f>
        <v/>
      </c>
    </row>
    <row r="366">
      <c r="A366" s="7" t="n">
        <v>10</v>
      </c>
      <c r="B366" s="8" t="n"/>
      <c r="C366" s="11" t="n"/>
      <c r="D366" s="14">
        <f>IF(B366="","",IFERROR(VLOOKUP(B366,'材料マスタ'!$B$5:$L$104,7,FALSE)&amp;"",""))</f>
        <v/>
      </c>
      <c r="E366" s="13">
        <f>IF(B366="","",IFERROR(VLOOKUP(B366,'材料マスタ'!$B$5:$L$104,11,FALSE),""))</f>
        <v/>
      </c>
      <c r="F366" s="12">
        <f>IF(OR(B366="",C366=""),"",IFERROR(ROUND(C366*E366,2),""))</f>
        <v/>
      </c>
      <c r="G366" s="14">
        <f>IF(B366="","",IFERROR(IF(VLOOKUP(B366,'材料マスタ'!$B$5:$L$104,11,FALSE)="","材料マスタを確認",IF(C366="","使用量を入力","OK")),"未登録の材料"))</f>
        <v/>
      </c>
    </row>
    <row r="367">
      <c r="A367" s="7" t="n">
        <v>11</v>
      </c>
      <c r="B367" s="8" t="n"/>
      <c r="C367" s="11" t="n"/>
      <c r="D367" s="14">
        <f>IF(B367="","",IFERROR(VLOOKUP(B367,'材料マスタ'!$B$5:$L$104,7,FALSE)&amp;"",""))</f>
        <v/>
      </c>
      <c r="E367" s="13">
        <f>IF(B367="","",IFERROR(VLOOKUP(B367,'材料マスタ'!$B$5:$L$104,11,FALSE),""))</f>
        <v/>
      </c>
      <c r="F367" s="12">
        <f>IF(OR(B367="",C367=""),"",IFERROR(ROUND(C367*E367,2),""))</f>
        <v/>
      </c>
      <c r="G367" s="14">
        <f>IF(B367="","",IFERROR(IF(VLOOKUP(B367,'材料マスタ'!$B$5:$L$104,11,FALSE)="","材料マスタを確認",IF(C367="","使用量を入力","OK")),"未登録の材料"))</f>
        <v/>
      </c>
    </row>
    <row r="368">
      <c r="A368" s="7" t="n">
        <v>12</v>
      </c>
      <c r="B368" s="8" t="n"/>
      <c r="C368" s="11" t="n"/>
      <c r="D368" s="14">
        <f>IF(B368="","",IFERROR(VLOOKUP(B368,'材料マスタ'!$B$5:$L$104,7,FALSE)&amp;"",""))</f>
        <v/>
      </c>
      <c r="E368" s="13">
        <f>IF(B368="","",IFERROR(VLOOKUP(B368,'材料マスタ'!$B$5:$L$104,11,FALSE),""))</f>
        <v/>
      </c>
      <c r="F368" s="12">
        <f>IF(OR(B368="",C368=""),"",IFERROR(ROUND(C368*E368,2),""))</f>
        <v/>
      </c>
      <c r="G368" s="14">
        <f>IF(B368="","",IFERROR(IF(VLOOKUP(B368,'材料マスタ'!$B$5:$L$104,11,FALSE)="","材料マスタを確認",IF(C368="","使用量を入力","OK")),"未登録の材料"))</f>
        <v/>
      </c>
    </row>
    <row r="369">
      <c r="A369" s="7" t="n">
        <v>13</v>
      </c>
      <c r="B369" s="8" t="n"/>
      <c r="C369" s="11" t="n"/>
      <c r="D369" s="14">
        <f>IF(B369="","",IFERROR(VLOOKUP(B369,'材料マスタ'!$B$5:$L$104,7,FALSE)&amp;"",""))</f>
        <v/>
      </c>
      <c r="E369" s="13">
        <f>IF(B369="","",IFERROR(VLOOKUP(B369,'材料マスタ'!$B$5:$L$104,11,FALSE),""))</f>
        <v/>
      </c>
      <c r="F369" s="12">
        <f>IF(OR(B369="",C369=""),"",IFERROR(ROUND(C369*E369,2),""))</f>
        <v/>
      </c>
      <c r="G369" s="14">
        <f>IF(B369="","",IFERROR(IF(VLOOKUP(B369,'材料マスタ'!$B$5:$L$104,11,FALSE)="","材料マスタを確認",IF(C369="","使用量を入力","OK")),"未登録の材料"))</f>
        <v/>
      </c>
    </row>
    <row r="370">
      <c r="A370" s="7" t="n">
        <v>14</v>
      </c>
      <c r="B370" s="8" t="n"/>
      <c r="C370" s="11" t="n"/>
      <c r="D370" s="14">
        <f>IF(B370="","",IFERROR(VLOOKUP(B370,'材料マスタ'!$B$5:$L$104,7,FALSE)&amp;"",""))</f>
        <v/>
      </c>
      <c r="E370" s="13">
        <f>IF(B370="","",IFERROR(VLOOKUP(B370,'材料マスタ'!$B$5:$L$104,11,FALSE),""))</f>
        <v/>
      </c>
      <c r="F370" s="12">
        <f>IF(OR(B370="",C370=""),"",IFERROR(ROUND(C370*E370,2),""))</f>
        <v/>
      </c>
      <c r="G370" s="14">
        <f>IF(B370="","",IFERROR(IF(VLOOKUP(B370,'材料マスタ'!$B$5:$L$104,11,FALSE)="","材料マスタを確認",IF(C370="","使用量を入力","OK")),"未登録の材料"))</f>
        <v/>
      </c>
    </row>
    <row r="371">
      <c r="A371" s="7" t="n">
        <v>15</v>
      </c>
      <c r="B371" s="8" t="n"/>
      <c r="C371" s="11" t="n"/>
      <c r="D371" s="14">
        <f>IF(B371="","",IFERROR(VLOOKUP(B371,'材料マスタ'!$B$5:$L$104,7,FALSE)&amp;"",""))</f>
        <v/>
      </c>
      <c r="E371" s="13">
        <f>IF(B371="","",IFERROR(VLOOKUP(B371,'材料マスタ'!$B$5:$L$104,11,FALSE),""))</f>
        <v/>
      </c>
      <c r="F371" s="12">
        <f>IF(OR(B371="",C371=""),"",IFERROR(ROUND(C371*E371,2),""))</f>
        <v/>
      </c>
      <c r="G371" s="14">
        <f>IF(B371="","",IFERROR(IF(VLOOKUP(B371,'材料マスタ'!$B$5:$L$104,11,FALSE)="","材料マスタを確認",IF(C371="","使用量を入力","OK")),"未登録の材料"))</f>
        <v/>
      </c>
    </row>
    <row r="372">
      <c r="B372" s="21" t="inlineStr">
        <is>
          <t>合計原価（税抜・円）</t>
        </is>
      </c>
      <c r="C372" s="22">
        <f>SUM(F357:F371)</f>
        <v/>
      </c>
    </row>
    <row r="373">
      <c r="B373" s="23" t="inlineStr">
        <is>
          <t>目標原価率（適用値）</t>
        </is>
      </c>
      <c r="C373" s="24">
        <f>IF(E355="",'設定'!$C$4,IF(E355&gt;1,E355/100,E355))</f>
        <v/>
      </c>
    </row>
    <row r="374">
      <c r="B374" s="23" t="inlineStr">
        <is>
          <t>売価の税率（適用値）</t>
        </is>
      </c>
      <c r="C374" s="25">
        <f>IF(G355="",'設定'!$C$5,IF(G355&gt;=1,G355/100,G355))</f>
        <v/>
      </c>
    </row>
    <row r="375">
      <c r="B375" s="23" t="inlineStr">
        <is>
          <t>税抜売価（円）</t>
        </is>
      </c>
      <c r="C375" s="22">
        <f>IF(C355="","",IFERROR(ROUND(C355/(1+C374),2),""))</f>
        <v/>
      </c>
    </row>
    <row r="376">
      <c r="B376" s="21" t="inlineStr">
        <is>
          <t>原価率</t>
        </is>
      </c>
      <c r="C376" s="26">
        <f>IFERROR(IF(OR(C375="",C375=0),"",ROUND(C372/C375,4)),"")</f>
        <v/>
      </c>
      <c r="D376" s="7" t="inlineStr">
        <is>
          <t>判定［自動］</t>
        </is>
      </c>
      <c r="E376" s="27">
        <f>IF(C376="",IF(C354="","","売価を入力"),IF(C376&gt;C373,"超過","目標内"))</f>
        <v/>
      </c>
    </row>
    <row r="377">
      <c r="B377" s="23" t="inlineStr">
        <is>
          <t>目標との差（＋は目標超過）</t>
        </is>
      </c>
      <c r="C377" s="28">
        <f>IF(C376="","",ROUND(C376-C373,4))</f>
        <v/>
      </c>
    </row>
    <row r="378" ht="30" customHeight="1">
      <c r="B378" s="21" t="inlineStr">
        <is>
          <t>推奨売価（税込・円／目標原価率から逆算、10円単位で切り上げ）</t>
        </is>
      </c>
      <c r="C378" s="29">
        <f>IFERROR(IF(OR(C372=0,C373=0),"",ROUNDUP(ROUND(C372/C373*(1+C374),2)/10,0)*10),"")</f>
        <v/>
      </c>
    </row>
    <row r="379">
      <c r="A379" s="15" t="inlineStr">
        <is>
          <t>メニュー16</t>
        </is>
      </c>
      <c r="B379" s="16" t="inlineStr">
        <is>
          <t>【入力】メニュー名</t>
        </is>
      </c>
      <c r="C379" s="8" t="n"/>
      <c r="D379" s="17" t="n"/>
      <c r="E379" s="17" t="n"/>
      <c r="F379" s="17" t="n"/>
      <c r="G379" s="18" t="n"/>
    </row>
    <row r="380">
      <c r="B380" s="7" t="inlineStr">
        <is>
          <t>【入力】販売価格（税込・円）</t>
        </is>
      </c>
      <c r="C380" s="9" t="n"/>
      <c r="D380" s="19" t="inlineStr">
        <is>
          <t>【入力】目標原価率（空欄=設定値）</t>
        </is>
      </c>
      <c r="E380" s="10" t="n"/>
      <c r="F380" s="19" t="inlineStr">
        <is>
          <t>【入力】売価の税率（空欄=設定値）</t>
        </is>
      </c>
      <c r="G380" s="10" t="n"/>
    </row>
    <row r="381" ht="32" customHeight="1">
      <c r="A381" s="20" t="inlineStr">
        <is>
          <t>No</t>
        </is>
      </c>
      <c r="B381" s="20" t="inlineStr">
        <is>
          <t>【入力】材料名（リストから選ぶ）</t>
        </is>
      </c>
      <c r="C381" s="20" t="inlineStr">
        <is>
          <t>【入力】使用量</t>
        </is>
      </c>
      <c r="D381" s="20" t="inlineStr">
        <is>
          <t>単位［自動］</t>
        </is>
      </c>
      <c r="E381" s="20" t="inlineStr">
        <is>
          <t>単価（税抜・円/単位）［自動］</t>
        </is>
      </c>
      <c r="F381" s="20" t="inlineStr">
        <is>
          <t>原価（円）［自動］</t>
        </is>
      </c>
      <c r="G381" s="20" t="inlineStr">
        <is>
          <t>チェック［自動］</t>
        </is>
      </c>
    </row>
    <row r="382">
      <c r="A382" s="7" t="n">
        <v>1</v>
      </c>
      <c r="B382" s="8" t="n"/>
      <c r="C382" s="11" t="n"/>
      <c r="D382" s="14">
        <f>IF(B382="","",IFERROR(VLOOKUP(B382,'材料マスタ'!$B$5:$L$104,7,FALSE)&amp;"",""))</f>
        <v/>
      </c>
      <c r="E382" s="13">
        <f>IF(B382="","",IFERROR(VLOOKUP(B382,'材料マスタ'!$B$5:$L$104,11,FALSE),""))</f>
        <v/>
      </c>
      <c r="F382" s="12">
        <f>IF(OR(B382="",C382=""),"",IFERROR(ROUND(C382*E382,2),""))</f>
        <v/>
      </c>
      <c r="G382" s="14">
        <f>IF(B382="","",IFERROR(IF(VLOOKUP(B382,'材料マスタ'!$B$5:$L$104,11,FALSE)="","材料マスタを確認",IF(C382="","使用量を入力","OK")),"未登録の材料"))</f>
        <v/>
      </c>
    </row>
    <row r="383">
      <c r="A383" s="7" t="n">
        <v>2</v>
      </c>
      <c r="B383" s="8" t="n"/>
      <c r="C383" s="11" t="n"/>
      <c r="D383" s="14">
        <f>IF(B383="","",IFERROR(VLOOKUP(B383,'材料マスタ'!$B$5:$L$104,7,FALSE)&amp;"",""))</f>
        <v/>
      </c>
      <c r="E383" s="13">
        <f>IF(B383="","",IFERROR(VLOOKUP(B383,'材料マスタ'!$B$5:$L$104,11,FALSE),""))</f>
        <v/>
      </c>
      <c r="F383" s="12">
        <f>IF(OR(B383="",C383=""),"",IFERROR(ROUND(C383*E383,2),""))</f>
        <v/>
      </c>
      <c r="G383" s="14">
        <f>IF(B383="","",IFERROR(IF(VLOOKUP(B383,'材料マスタ'!$B$5:$L$104,11,FALSE)="","材料マスタを確認",IF(C383="","使用量を入力","OK")),"未登録の材料"))</f>
        <v/>
      </c>
    </row>
    <row r="384">
      <c r="A384" s="7" t="n">
        <v>3</v>
      </c>
      <c r="B384" s="8" t="n"/>
      <c r="C384" s="11" t="n"/>
      <c r="D384" s="14">
        <f>IF(B384="","",IFERROR(VLOOKUP(B384,'材料マスタ'!$B$5:$L$104,7,FALSE)&amp;"",""))</f>
        <v/>
      </c>
      <c r="E384" s="13">
        <f>IF(B384="","",IFERROR(VLOOKUP(B384,'材料マスタ'!$B$5:$L$104,11,FALSE),""))</f>
        <v/>
      </c>
      <c r="F384" s="12">
        <f>IF(OR(B384="",C384=""),"",IFERROR(ROUND(C384*E384,2),""))</f>
        <v/>
      </c>
      <c r="G384" s="14">
        <f>IF(B384="","",IFERROR(IF(VLOOKUP(B384,'材料マスタ'!$B$5:$L$104,11,FALSE)="","材料マスタを確認",IF(C384="","使用量を入力","OK")),"未登録の材料"))</f>
        <v/>
      </c>
    </row>
    <row r="385">
      <c r="A385" s="7" t="n">
        <v>4</v>
      </c>
      <c r="B385" s="8" t="n"/>
      <c r="C385" s="11" t="n"/>
      <c r="D385" s="14">
        <f>IF(B385="","",IFERROR(VLOOKUP(B385,'材料マスタ'!$B$5:$L$104,7,FALSE)&amp;"",""))</f>
        <v/>
      </c>
      <c r="E385" s="13">
        <f>IF(B385="","",IFERROR(VLOOKUP(B385,'材料マスタ'!$B$5:$L$104,11,FALSE),""))</f>
        <v/>
      </c>
      <c r="F385" s="12">
        <f>IF(OR(B385="",C385=""),"",IFERROR(ROUND(C385*E385,2),""))</f>
        <v/>
      </c>
      <c r="G385" s="14">
        <f>IF(B385="","",IFERROR(IF(VLOOKUP(B385,'材料マスタ'!$B$5:$L$104,11,FALSE)="","材料マスタを確認",IF(C385="","使用量を入力","OK")),"未登録の材料"))</f>
        <v/>
      </c>
    </row>
    <row r="386">
      <c r="A386" s="7" t="n">
        <v>5</v>
      </c>
      <c r="B386" s="8" t="n"/>
      <c r="C386" s="11" t="n"/>
      <c r="D386" s="14">
        <f>IF(B386="","",IFERROR(VLOOKUP(B386,'材料マスタ'!$B$5:$L$104,7,FALSE)&amp;"",""))</f>
        <v/>
      </c>
      <c r="E386" s="13">
        <f>IF(B386="","",IFERROR(VLOOKUP(B386,'材料マスタ'!$B$5:$L$104,11,FALSE),""))</f>
        <v/>
      </c>
      <c r="F386" s="12">
        <f>IF(OR(B386="",C386=""),"",IFERROR(ROUND(C386*E386,2),""))</f>
        <v/>
      </c>
      <c r="G386" s="14">
        <f>IF(B386="","",IFERROR(IF(VLOOKUP(B386,'材料マスタ'!$B$5:$L$104,11,FALSE)="","材料マスタを確認",IF(C386="","使用量を入力","OK")),"未登録の材料"))</f>
        <v/>
      </c>
    </row>
    <row r="387">
      <c r="A387" s="7" t="n">
        <v>6</v>
      </c>
      <c r="B387" s="8" t="n"/>
      <c r="C387" s="11" t="n"/>
      <c r="D387" s="14">
        <f>IF(B387="","",IFERROR(VLOOKUP(B387,'材料マスタ'!$B$5:$L$104,7,FALSE)&amp;"",""))</f>
        <v/>
      </c>
      <c r="E387" s="13">
        <f>IF(B387="","",IFERROR(VLOOKUP(B387,'材料マスタ'!$B$5:$L$104,11,FALSE),""))</f>
        <v/>
      </c>
      <c r="F387" s="12">
        <f>IF(OR(B387="",C387=""),"",IFERROR(ROUND(C387*E387,2),""))</f>
        <v/>
      </c>
      <c r="G387" s="14">
        <f>IF(B387="","",IFERROR(IF(VLOOKUP(B387,'材料マスタ'!$B$5:$L$104,11,FALSE)="","材料マスタを確認",IF(C387="","使用量を入力","OK")),"未登録の材料"))</f>
        <v/>
      </c>
    </row>
    <row r="388">
      <c r="A388" s="7" t="n">
        <v>7</v>
      </c>
      <c r="B388" s="8" t="n"/>
      <c r="C388" s="11" t="n"/>
      <c r="D388" s="14">
        <f>IF(B388="","",IFERROR(VLOOKUP(B388,'材料マスタ'!$B$5:$L$104,7,FALSE)&amp;"",""))</f>
        <v/>
      </c>
      <c r="E388" s="13">
        <f>IF(B388="","",IFERROR(VLOOKUP(B388,'材料マスタ'!$B$5:$L$104,11,FALSE),""))</f>
        <v/>
      </c>
      <c r="F388" s="12">
        <f>IF(OR(B388="",C388=""),"",IFERROR(ROUND(C388*E388,2),""))</f>
        <v/>
      </c>
      <c r="G388" s="14">
        <f>IF(B388="","",IFERROR(IF(VLOOKUP(B388,'材料マスタ'!$B$5:$L$104,11,FALSE)="","材料マスタを確認",IF(C388="","使用量を入力","OK")),"未登録の材料"))</f>
        <v/>
      </c>
    </row>
    <row r="389">
      <c r="A389" s="7" t="n">
        <v>8</v>
      </c>
      <c r="B389" s="8" t="n"/>
      <c r="C389" s="11" t="n"/>
      <c r="D389" s="14">
        <f>IF(B389="","",IFERROR(VLOOKUP(B389,'材料マスタ'!$B$5:$L$104,7,FALSE)&amp;"",""))</f>
        <v/>
      </c>
      <c r="E389" s="13">
        <f>IF(B389="","",IFERROR(VLOOKUP(B389,'材料マスタ'!$B$5:$L$104,11,FALSE),""))</f>
        <v/>
      </c>
      <c r="F389" s="12">
        <f>IF(OR(B389="",C389=""),"",IFERROR(ROUND(C389*E389,2),""))</f>
        <v/>
      </c>
      <c r="G389" s="14">
        <f>IF(B389="","",IFERROR(IF(VLOOKUP(B389,'材料マスタ'!$B$5:$L$104,11,FALSE)="","材料マスタを確認",IF(C389="","使用量を入力","OK")),"未登録の材料"))</f>
        <v/>
      </c>
    </row>
    <row r="390">
      <c r="A390" s="7" t="n">
        <v>9</v>
      </c>
      <c r="B390" s="8" t="n"/>
      <c r="C390" s="11" t="n"/>
      <c r="D390" s="14">
        <f>IF(B390="","",IFERROR(VLOOKUP(B390,'材料マスタ'!$B$5:$L$104,7,FALSE)&amp;"",""))</f>
        <v/>
      </c>
      <c r="E390" s="13">
        <f>IF(B390="","",IFERROR(VLOOKUP(B390,'材料マスタ'!$B$5:$L$104,11,FALSE),""))</f>
        <v/>
      </c>
      <c r="F390" s="12">
        <f>IF(OR(B390="",C390=""),"",IFERROR(ROUND(C390*E390,2),""))</f>
        <v/>
      </c>
      <c r="G390" s="14">
        <f>IF(B390="","",IFERROR(IF(VLOOKUP(B390,'材料マスタ'!$B$5:$L$104,11,FALSE)="","材料マスタを確認",IF(C390="","使用量を入力","OK")),"未登録の材料"))</f>
        <v/>
      </c>
    </row>
    <row r="391">
      <c r="A391" s="7" t="n">
        <v>10</v>
      </c>
      <c r="B391" s="8" t="n"/>
      <c r="C391" s="11" t="n"/>
      <c r="D391" s="14">
        <f>IF(B391="","",IFERROR(VLOOKUP(B391,'材料マスタ'!$B$5:$L$104,7,FALSE)&amp;"",""))</f>
        <v/>
      </c>
      <c r="E391" s="13">
        <f>IF(B391="","",IFERROR(VLOOKUP(B391,'材料マスタ'!$B$5:$L$104,11,FALSE),""))</f>
        <v/>
      </c>
      <c r="F391" s="12">
        <f>IF(OR(B391="",C391=""),"",IFERROR(ROUND(C391*E391,2),""))</f>
        <v/>
      </c>
      <c r="G391" s="14">
        <f>IF(B391="","",IFERROR(IF(VLOOKUP(B391,'材料マスタ'!$B$5:$L$104,11,FALSE)="","材料マスタを確認",IF(C391="","使用量を入力","OK")),"未登録の材料"))</f>
        <v/>
      </c>
    </row>
    <row r="392">
      <c r="A392" s="7" t="n">
        <v>11</v>
      </c>
      <c r="B392" s="8" t="n"/>
      <c r="C392" s="11" t="n"/>
      <c r="D392" s="14">
        <f>IF(B392="","",IFERROR(VLOOKUP(B392,'材料マスタ'!$B$5:$L$104,7,FALSE)&amp;"",""))</f>
        <v/>
      </c>
      <c r="E392" s="13">
        <f>IF(B392="","",IFERROR(VLOOKUP(B392,'材料マスタ'!$B$5:$L$104,11,FALSE),""))</f>
        <v/>
      </c>
      <c r="F392" s="12">
        <f>IF(OR(B392="",C392=""),"",IFERROR(ROUND(C392*E392,2),""))</f>
        <v/>
      </c>
      <c r="G392" s="14">
        <f>IF(B392="","",IFERROR(IF(VLOOKUP(B392,'材料マスタ'!$B$5:$L$104,11,FALSE)="","材料マスタを確認",IF(C392="","使用量を入力","OK")),"未登録の材料"))</f>
        <v/>
      </c>
    </row>
    <row r="393">
      <c r="A393" s="7" t="n">
        <v>12</v>
      </c>
      <c r="B393" s="8" t="n"/>
      <c r="C393" s="11" t="n"/>
      <c r="D393" s="14">
        <f>IF(B393="","",IFERROR(VLOOKUP(B393,'材料マスタ'!$B$5:$L$104,7,FALSE)&amp;"",""))</f>
        <v/>
      </c>
      <c r="E393" s="13">
        <f>IF(B393="","",IFERROR(VLOOKUP(B393,'材料マスタ'!$B$5:$L$104,11,FALSE),""))</f>
        <v/>
      </c>
      <c r="F393" s="12">
        <f>IF(OR(B393="",C393=""),"",IFERROR(ROUND(C393*E393,2),""))</f>
        <v/>
      </c>
      <c r="G393" s="14">
        <f>IF(B393="","",IFERROR(IF(VLOOKUP(B393,'材料マスタ'!$B$5:$L$104,11,FALSE)="","材料マスタを確認",IF(C393="","使用量を入力","OK")),"未登録の材料"))</f>
        <v/>
      </c>
    </row>
    <row r="394">
      <c r="A394" s="7" t="n">
        <v>13</v>
      </c>
      <c r="B394" s="8" t="n"/>
      <c r="C394" s="11" t="n"/>
      <c r="D394" s="14">
        <f>IF(B394="","",IFERROR(VLOOKUP(B394,'材料マスタ'!$B$5:$L$104,7,FALSE)&amp;"",""))</f>
        <v/>
      </c>
      <c r="E394" s="13">
        <f>IF(B394="","",IFERROR(VLOOKUP(B394,'材料マスタ'!$B$5:$L$104,11,FALSE),""))</f>
        <v/>
      </c>
      <c r="F394" s="12">
        <f>IF(OR(B394="",C394=""),"",IFERROR(ROUND(C394*E394,2),""))</f>
        <v/>
      </c>
      <c r="G394" s="14">
        <f>IF(B394="","",IFERROR(IF(VLOOKUP(B394,'材料マスタ'!$B$5:$L$104,11,FALSE)="","材料マスタを確認",IF(C394="","使用量を入力","OK")),"未登録の材料"))</f>
        <v/>
      </c>
    </row>
    <row r="395">
      <c r="A395" s="7" t="n">
        <v>14</v>
      </c>
      <c r="B395" s="8" t="n"/>
      <c r="C395" s="11" t="n"/>
      <c r="D395" s="14">
        <f>IF(B395="","",IFERROR(VLOOKUP(B395,'材料マスタ'!$B$5:$L$104,7,FALSE)&amp;"",""))</f>
        <v/>
      </c>
      <c r="E395" s="13">
        <f>IF(B395="","",IFERROR(VLOOKUP(B395,'材料マスタ'!$B$5:$L$104,11,FALSE),""))</f>
        <v/>
      </c>
      <c r="F395" s="12">
        <f>IF(OR(B395="",C395=""),"",IFERROR(ROUND(C395*E395,2),""))</f>
        <v/>
      </c>
      <c r="G395" s="14">
        <f>IF(B395="","",IFERROR(IF(VLOOKUP(B395,'材料マスタ'!$B$5:$L$104,11,FALSE)="","材料マスタを確認",IF(C395="","使用量を入力","OK")),"未登録の材料"))</f>
        <v/>
      </c>
    </row>
    <row r="396">
      <c r="A396" s="7" t="n">
        <v>15</v>
      </c>
      <c r="B396" s="8" t="n"/>
      <c r="C396" s="11" t="n"/>
      <c r="D396" s="14">
        <f>IF(B396="","",IFERROR(VLOOKUP(B396,'材料マスタ'!$B$5:$L$104,7,FALSE)&amp;"",""))</f>
        <v/>
      </c>
      <c r="E396" s="13">
        <f>IF(B396="","",IFERROR(VLOOKUP(B396,'材料マスタ'!$B$5:$L$104,11,FALSE),""))</f>
        <v/>
      </c>
      <c r="F396" s="12">
        <f>IF(OR(B396="",C396=""),"",IFERROR(ROUND(C396*E396,2),""))</f>
        <v/>
      </c>
      <c r="G396" s="14">
        <f>IF(B396="","",IFERROR(IF(VLOOKUP(B396,'材料マスタ'!$B$5:$L$104,11,FALSE)="","材料マスタを確認",IF(C396="","使用量を入力","OK")),"未登録の材料"))</f>
        <v/>
      </c>
    </row>
    <row r="397">
      <c r="B397" s="21" t="inlineStr">
        <is>
          <t>合計原価（税抜・円）</t>
        </is>
      </c>
      <c r="C397" s="22">
        <f>SUM(F382:F396)</f>
        <v/>
      </c>
    </row>
    <row r="398">
      <c r="B398" s="23" t="inlineStr">
        <is>
          <t>目標原価率（適用値）</t>
        </is>
      </c>
      <c r="C398" s="24">
        <f>IF(E380="",'設定'!$C$4,IF(E380&gt;1,E380/100,E380))</f>
        <v/>
      </c>
    </row>
    <row r="399">
      <c r="B399" s="23" t="inlineStr">
        <is>
          <t>売価の税率（適用値）</t>
        </is>
      </c>
      <c r="C399" s="25">
        <f>IF(G380="",'設定'!$C$5,IF(G380&gt;=1,G380/100,G380))</f>
        <v/>
      </c>
    </row>
    <row r="400">
      <c r="B400" s="23" t="inlineStr">
        <is>
          <t>税抜売価（円）</t>
        </is>
      </c>
      <c r="C400" s="22">
        <f>IF(C380="","",IFERROR(ROUND(C380/(1+C399),2),""))</f>
        <v/>
      </c>
    </row>
    <row r="401">
      <c r="B401" s="21" t="inlineStr">
        <is>
          <t>原価率</t>
        </is>
      </c>
      <c r="C401" s="26">
        <f>IFERROR(IF(OR(C400="",C400=0),"",ROUND(C397/C400,4)),"")</f>
        <v/>
      </c>
      <c r="D401" s="7" t="inlineStr">
        <is>
          <t>判定［自動］</t>
        </is>
      </c>
      <c r="E401" s="27">
        <f>IF(C401="",IF(C379="","","売価を入力"),IF(C401&gt;C398,"超過","目標内"))</f>
        <v/>
      </c>
    </row>
    <row r="402">
      <c r="B402" s="23" t="inlineStr">
        <is>
          <t>目標との差（＋は目標超過）</t>
        </is>
      </c>
      <c r="C402" s="28">
        <f>IF(C401="","",ROUND(C401-C398,4))</f>
        <v/>
      </c>
    </row>
    <row r="403" ht="30" customHeight="1">
      <c r="B403" s="21" t="inlineStr">
        <is>
          <t>推奨売価（税込・円／目標原価率から逆算、10円単位で切り上げ）</t>
        </is>
      </c>
      <c r="C403" s="29">
        <f>IFERROR(IF(OR(C397=0,C398=0),"",ROUNDUP(ROUND(C397/C398*(1+C399),2)/10,0)*10),"")</f>
        <v/>
      </c>
    </row>
    <row r="404">
      <c r="A404" s="15" t="inlineStr">
        <is>
          <t>メニュー17</t>
        </is>
      </c>
      <c r="B404" s="16" t="inlineStr">
        <is>
          <t>【入力】メニュー名</t>
        </is>
      </c>
      <c r="C404" s="8" t="n"/>
      <c r="D404" s="17" t="n"/>
      <c r="E404" s="17" t="n"/>
      <c r="F404" s="17" t="n"/>
      <c r="G404" s="18" t="n"/>
    </row>
    <row r="405">
      <c r="B405" s="7" t="inlineStr">
        <is>
          <t>【入力】販売価格（税込・円）</t>
        </is>
      </c>
      <c r="C405" s="9" t="n"/>
      <c r="D405" s="19" t="inlineStr">
        <is>
          <t>【入力】目標原価率（空欄=設定値）</t>
        </is>
      </c>
      <c r="E405" s="10" t="n"/>
      <c r="F405" s="19" t="inlineStr">
        <is>
          <t>【入力】売価の税率（空欄=設定値）</t>
        </is>
      </c>
      <c r="G405" s="10" t="n"/>
    </row>
    <row r="406" ht="32" customHeight="1">
      <c r="A406" s="20" t="inlineStr">
        <is>
          <t>No</t>
        </is>
      </c>
      <c r="B406" s="20" t="inlineStr">
        <is>
          <t>【入力】材料名（リストから選ぶ）</t>
        </is>
      </c>
      <c r="C406" s="20" t="inlineStr">
        <is>
          <t>【入力】使用量</t>
        </is>
      </c>
      <c r="D406" s="20" t="inlineStr">
        <is>
          <t>単位［自動］</t>
        </is>
      </c>
      <c r="E406" s="20" t="inlineStr">
        <is>
          <t>単価（税抜・円/単位）［自動］</t>
        </is>
      </c>
      <c r="F406" s="20" t="inlineStr">
        <is>
          <t>原価（円）［自動］</t>
        </is>
      </c>
      <c r="G406" s="20" t="inlineStr">
        <is>
          <t>チェック［自動］</t>
        </is>
      </c>
    </row>
    <row r="407">
      <c r="A407" s="7" t="n">
        <v>1</v>
      </c>
      <c r="B407" s="8" t="n"/>
      <c r="C407" s="11" t="n"/>
      <c r="D407" s="14">
        <f>IF(B407="","",IFERROR(VLOOKUP(B407,'材料マスタ'!$B$5:$L$104,7,FALSE)&amp;"",""))</f>
        <v/>
      </c>
      <c r="E407" s="13">
        <f>IF(B407="","",IFERROR(VLOOKUP(B407,'材料マスタ'!$B$5:$L$104,11,FALSE),""))</f>
        <v/>
      </c>
      <c r="F407" s="12">
        <f>IF(OR(B407="",C407=""),"",IFERROR(ROUND(C407*E407,2),""))</f>
        <v/>
      </c>
      <c r="G407" s="14">
        <f>IF(B407="","",IFERROR(IF(VLOOKUP(B407,'材料マスタ'!$B$5:$L$104,11,FALSE)="","材料マスタを確認",IF(C407="","使用量を入力","OK")),"未登録の材料"))</f>
        <v/>
      </c>
    </row>
    <row r="408">
      <c r="A408" s="7" t="n">
        <v>2</v>
      </c>
      <c r="B408" s="8" t="n"/>
      <c r="C408" s="11" t="n"/>
      <c r="D408" s="14">
        <f>IF(B408="","",IFERROR(VLOOKUP(B408,'材料マスタ'!$B$5:$L$104,7,FALSE)&amp;"",""))</f>
        <v/>
      </c>
      <c r="E408" s="13">
        <f>IF(B408="","",IFERROR(VLOOKUP(B408,'材料マスタ'!$B$5:$L$104,11,FALSE),""))</f>
        <v/>
      </c>
      <c r="F408" s="12">
        <f>IF(OR(B408="",C408=""),"",IFERROR(ROUND(C408*E408,2),""))</f>
        <v/>
      </c>
      <c r="G408" s="14">
        <f>IF(B408="","",IFERROR(IF(VLOOKUP(B408,'材料マスタ'!$B$5:$L$104,11,FALSE)="","材料マスタを確認",IF(C408="","使用量を入力","OK")),"未登録の材料"))</f>
        <v/>
      </c>
    </row>
    <row r="409">
      <c r="A409" s="7" t="n">
        <v>3</v>
      </c>
      <c r="B409" s="8" t="n"/>
      <c r="C409" s="11" t="n"/>
      <c r="D409" s="14">
        <f>IF(B409="","",IFERROR(VLOOKUP(B409,'材料マスタ'!$B$5:$L$104,7,FALSE)&amp;"",""))</f>
        <v/>
      </c>
      <c r="E409" s="13">
        <f>IF(B409="","",IFERROR(VLOOKUP(B409,'材料マスタ'!$B$5:$L$104,11,FALSE),""))</f>
        <v/>
      </c>
      <c r="F409" s="12">
        <f>IF(OR(B409="",C409=""),"",IFERROR(ROUND(C409*E409,2),""))</f>
        <v/>
      </c>
      <c r="G409" s="14">
        <f>IF(B409="","",IFERROR(IF(VLOOKUP(B409,'材料マスタ'!$B$5:$L$104,11,FALSE)="","材料マスタを確認",IF(C409="","使用量を入力","OK")),"未登録の材料"))</f>
        <v/>
      </c>
    </row>
    <row r="410">
      <c r="A410" s="7" t="n">
        <v>4</v>
      </c>
      <c r="B410" s="8" t="n"/>
      <c r="C410" s="11" t="n"/>
      <c r="D410" s="14">
        <f>IF(B410="","",IFERROR(VLOOKUP(B410,'材料マスタ'!$B$5:$L$104,7,FALSE)&amp;"",""))</f>
        <v/>
      </c>
      <c r="E410" s="13">
        <f>IF(B410="","",IFERROR(VLOOKUP(B410,'材料マスタ'!$B$5:$L$104,11,FALSE),""))</f>
        <v/>
      </c>
      <c r="F410" s="12">
        <f>IF(OR(B410="",C410=""),"",IFERROR(ROUND(C410*E410,2),""))</f>
        <v/>
      </c>
      <c r="G410" s="14">
        <f>IF(B410="","",IFERROR(IF(VLOOKUP(B410,'材料マスタ'!$B$5:$L$104,11,FALSE)="","材料マスタを確認",IF(C410="","使用量を入力","OK")),"未登録の材料"))</f>
        <v/>
      </c>
    </row>
    <row r="411">
      <c r="A411" s="7" t="n">
        <v>5</v>
      </c>
      <c r="B411" s="8" t="n"/>
      <c r="C411" s="11" t="n"/>
      <c r="D411" s="14">
        <f>IF(B411="","",IFERROR(VLOOKUP(B411,'材料マスタ'!$B$5:$L$104,7,FALSE)&amp;"",""))</f>
        <v/>
      </c>
      <c r="E411" s="13">
        <f>IF(B411="","",IFERROR(VLOOKUP(B411,'材料マスタ'!$B$5:$L$104,11,FALSE),""))</f>
        <v/>
      </c>
      <c r="F411" s="12">
        <f>IF(OR(B411="",C411=""),"",IFERROR(ROUND(C411*E411,2),""))</f>
        <v/>
      </c>
      <c r="G411" s="14">
        <f>IF(B411="","",IFERROR(IF(VLOOKUP(B411,'材料マスタ'!$B$5:$L$104,11,FALSE)="","材料マスタを確認",IF(C411="","使用量を入力","OK")),"未登録の材料"))</f>
        <v/>
      </c>
    </row>
    <row r="412">
      <c r="A412" s="7" t="n">
        <v>6</v>
      </c>
      <c r="B412" s="8" t="n"/>
      <c r="C412" s="11" t="n"/>
      <c r="D412" s="14">
        <f>IF(B412="","",IFERROR(VLOOKUP(B412,'材料マスタ'!$B$5:$L$104,7,FALSE)&amp;"",""))</f>
        <v/>
      </c>
      <c r="E412" s="13">
        <f>IF(B412="","",IFERROR(VLOOKUP(B412,'材料マスタ'!$B$5:$L$104,11,FALSE),""))</f>
        <v/>
      </c>
      <c r="F412" s="12">
        <f>IF(OR(B412="",C412=""),"",IFERROR(ROUND(C412*E412,2),""))</f>
        <v/>
      </c>
      <c r="G412" s="14">
        <f>IF(B412="","",IFERROR(IF(VLOOKUP(B412,'材料マスタ'!$B$5:$L$104,11,FALSE)="","材料マスタを確認",IF(C412="","使用量を入力","OK")),"未登録の材料"))</f>
        <v/>
      </c>
    </row>
    <row r="413">
      <c r="A413" s="7" t="n">
        <v>7</v>
      </c>
      <c r="B413" s="8" t="n"/>
      <c r="C413" s="11" t="n"/>
      <c r="D413" s="14">
        <f>IF(B413="","",IFERROR(VLOOKUP(B413,'材料マスタ'!$B$5:$L$104,7,FALSE)&amp;"",""))</f>
        <v/>
      </c>
      <c r="E413" s="13">
        <f>IF(B413="","",IFERROR(VLOOKUP(B413,'材料マスタ'!$B$5:$L$104,11,FALSE),""))</f>
        <v/>
      </c>
      <c r="F413" s="12">
        <f>IF(OR(B413="",C413=""),"",IFERROR(ROUND(C413*E413,2),""))</f>
        <v/>
      </c>
      <c r="G413" s="14">
        <f>IF(B413="","",IFERROR(IF(VLOOKUP(B413,'材料マスタ'!$B$5:$L$104,11,FALSE)="","材料マスタを確認",IF(C413="","使用量を入力","OK")),"未登録の材料"))</f>
        <v/>
      </c>
    </row>
    <row r="414">
      <c r="A414" s="7" t="n">
        <v>8</v>
      </c>
      <c r="B414" s="8" t="n"/>
      <c r="C414" s="11" t="n"/>
      <c r="D414" s="14">
        <f>IF(B414="","",IFERROR(VLOOKUP(B414,'材料マスタ'!$B$5:$L$104,7,FALSE)&amp;"",""))</f>
        <v/>
      </c>
      <c r="E414" s="13">
        <f>IF(B414="","",IFERROR(VLOOKUP(B414,'材料マスタ'!$B$5:$L$104,11,FALSE),""))</f>
        <v/>
      </c>
      <c r="F414" s="12">
        <f>IF(OR(B414="",C414=""),"",IFERROR(ROUND(C414*E414,2),""))</f>
        <v/>
      </c>
      <c r="G414" s="14">
        <f>IF(B414="","",IFERROR(IF(VLOOKUP(B414,'材料マスタ'!$B$5:$L$104,11,FALSE)="","材料マスタを確認",IF(C414="","使用量を入力","OK")),"未登録の材料"))</f>
        <v/>
      </c>
    </row>
    <row r="415">
      <c r="A415" s="7" t="n">
        <v>9</v>
      </c>
      <c r="B415" s="8" t="n"/>
      <c r="C415" s="11" t="n"/>
      <c r="D415" s="14">
        <f>IF(B415="","",IFERROR(VLOOKUP(B415,'材料マスタ'!$B$5:$L$104,7,FALSE)&amp;"",""))</f>
        <v/>
      </c>
      <c r="E415" s="13">
        <f>IF(B415="","",IFERROR(VLOOKUP(B415,'材料マスタ'!$B$5:$L$104,11,FALSE),""))</f>
        <v/>
      </c>
      <c r="F415" s="12">
        <f>IF(OR(B415="",C415=""),"",IFERROR(ROUND(C415*E415,2),""))</f>
        <v/>
      </c>
      <c r="G415" s="14">
        <f>IF(B415="","",IFERROR(IF(VLOOKUP(B415,'材料マスタ'!$B$5:$L$104,11,FALSE)="","材料マスタを確認",IF(C415="","使用量を入力","OK")),"未登録の材料"))</f>
        <v/>
      </c>
    </row>
    <row r="416">
      <c r="A416" s="7" t="n">
        <v>10</v>
      </c>
      <c r="B416" s="8" t="n"/>
      <c r="C416" s="11" t="n"/>
      <c r="D416" s="14">
        <f>IF(B416="","",IFERROR(VLOOKUP(B416,'材料マスタ'!$B$5:$L$104,7,FALSE)&amp;"",""))</f>
        <v/>
      </c>
      <c r="E416" s="13">
        <f>IF(B416="","",IFERROR(VLOOKUP(B416,'材料マスタ'!$B$5:$L$104,11,FALSE),""))</f>
        <v/>
      </c>
      <c r="F416" s="12">
        <f>IF(OR(B416="",C416=""),"",IFERROR(ROUND(C416*E416,2),""))</f>
        <v/>
      </c>
      <c r="G416" s="14">
        <f>IF(B416="","",IFERROR(IF(VLOOKUP(B416,'材料マスタ'!$B$5:$L$104,11,FALSE)="","材料マスタを確認",IF(C416="","使用量を入力","OK")),"未登録の材料"))</f>
        <v/>
      </c>
    </row>
    <row r="417">
      <c r="A417" s="7" t="n">
        <v>11</v>
      </c>
      <c r="B417" s="8" t="n"/>
      <c r="C417" s="11" t="n"/>
      <c r="D417" s="14">
        <f>IF(B417="","",IFERROR(VLOOKUP(B417,'材料マスタ'!$B$5:$L$104,7,FALSE)&amp;"",""))</f>
        <v/>
      </c>
      <c r="E417" s="13">
        <f>IF(B417="","",IFERROR(VLOOKUP(B417,'材料マスタ'!$B$5:$L$104,11,FALSE),""))</f>
        <v/>
      </c>
      <c r="F417" s="12">
        <f>IF(OR(B417="",C417=""),"",IFERROR(ROUND(C417*E417,2),""))</f>
        <v/>
      </c>
      <c r="G417" s="14">
        <f>IF(B417="","",IFERROR(IF(VLOOKUP(B417,'材料マスタ'!$B$5:$L$104,11,FALSE)="","材料マスタを確認",IF(C417="","使用量を入力","OK")),"未登録の材料"))</f>
        <v/>
      </c>
    </row>
    <row r="418">
      <c r="A418" s="7" t="n">
        <v>12</v>
      </c>
      <c r="B418" s="8" t="n"/>
      <c r="C418" s="11" t="n"/>
      <c r="D418" s="14">
        <f>IF(B418="","",IFERROR(VLOOKUP(B418,'材料マスタ'!$B$5:$L$104,7,FALSE)&amp;"",""))</f>
        <v/>
      </c>
      <c r="E418" s="13">
        <f>IF(B418="","",IFERROR(VLOOKUP(B418,'材料マスタ'!$B$5:$L$104,11,FALSE),""))</f>
        <v/>
      </c>
      <c r="F418" s="12">
        <f>IF(OR(B418="",C418=""),"",IFERROR(ROUND(C418*E418,2),""))</f>
        <v/>
      </c>
      <c r="G418" s="14">
        <f>IF(B418="","",IFERROR(IF(VLOOKUP(B418,'材料マスタ'!$B$5:$L$104,11,FALSE)="","材料マスタを確認",IF(C418="","使用量を入力","OK")),"未登録の材料"))</f>
        <v/>
      </c>
    </row>
    <row r="419">
      <c r="A419" s="7" t="n">
        <v>13</v>
      </c>
      <c r="B419" s="8" t="n"/>
      <c r="C419" s="11" t="n"/>
      <c r="D419" s="14">
        <f>IF(B419="","",IFERROR(VLOOKUP(B419,'材料マスタ'!$B$5:$L$104,7,FALSE)&amp;"",""))</f>
        <v/>
      </c>
      <c r="E419" s="13">
        <f>IF(B419="","",IFERROR(VLOOKUP(B419,'材料マスタ'!$B$5:$L$104,11,FALSE),""))</f>
        <v/>
      </c>
      <c r="F419" s="12">
        <f>IF(OR(B419="",C419=""),"",IFERROR(ROUND(C419*E419,2),""))</f>
        <v/>
      </c>
      <c r="G419" s="14">
        <f>IF(B419="","",IFERROR(IF(VLOOKUP(B419,'材料マスタ'!$B$5:$L$104,11,FALSE)="","材料マスタを確認",IF(C419="","使用量を入力","OK")),"未登録の材料"))</f>
        <v/>
      </c>
    </row>
    <row r="420">
      <c r="A420" s="7" t="n">
        <v>14</v>
      </c>
      <c r="B420" s="8" t="n"/>
      <c r="C420" s="11" t="n"/>
      <c r="D420" s="14">
        <f>IF(B420="","",IFERROR(VLOOKUP(B420,'材料マスタ'!$B$5:$L$104,7,FALSE)&amp;"",""))</f>
        <v/>
      </c>
      <c r="E420" s="13">
        <f>IF(B420="","",IFERROR(VLOOKUP(B420,'材料マスタ'!$B$5:$L$104,11,FALSE),""))</f>
        <v/>
      </c>
      <c r="F420" s="12">
        <f>IF(OR(B420="",C420=""),"",IFERROR(ROUND(C420*E420,2),""))</f>
        <v/>
      </c>
      <c r="G420" s="14">
        <f>IF(B420="","",IFERROR(IF(VLOOKUP(B420,'材料マスタ'!$B$5:$L$104,11,FALSE)="","材料マスタを確認",IF(C420="","使用量を入力","OK")),"未登録の材料"))</f>
        <v/>
      </c>
    </row>
    <row r="421">
      <c r="A421" s="7" t="n">
        <v>15</v>
      </c>
      <c r="B421" s="8" t="n"/>
      <c r="C421" s="11" t="n"/>
      <c r="D421" s="14">
        <f>IF(B421="","",IFERROR(VLOOKUP(B421,'材料マスタ'!$B$5:$L$104,7,FALSE)&amp;"",""))</f>
        <v/>
      </c>
      <c r="E421" s="13">
        <f>IF(B421="","",IFERROR(VLOOKUP(B421,'材料マスタ'!$B$5:$L$104,11,FALSE),""))</f>
        <v/>
      </c>
      <c r="F421" s="12">
        <f>IF(OR(B421="",C421=""),"",IFERROR(ROUND(C421*E421,2),""))</f>
        <v/>
      </c>
      <c r="G421" s="14">
        <f>IF(B421="","",IFERROR(IF(VLOOKUP(B421,'材料マスタ'!$B$5:$L$104,11,FALSE)="","材料マスタを確認",IF(C421="","使用量を入力","OK")),"未登録の材料"))</f>
        <v/>
      </c>
    </row>
    <row r="422">
      <c r="B422" s="21" t="inlineStr">
        <is>
          <t>合計原価（税抜・円）</t>
        </is>
      </c>
      <c r="C422" s="22">
        <f>SUM(F407:F421)</f>
        <v/>
      </c>
    </row>
    <row r="423">
      <c r="B423" s="23" t="inlineStr">
        <is>
          <t>目標原価率（適用値）</t>
        </is>
      </c>
      <c r="C423" s="24">
        <f>IF(E405="",'設定'!$C$4,IF(E405&gt;1,E405/100,E405))</f>
        <v/>
      </c>
    </row>
    <row r="424">
      <c r="B424" s="23" t="inlineStr">
        <is>
          <t>売価の税率（適用値）</t>
        </is>
      </c>
      <c r="C424" s="25">
        <f>IF(G405="",'設定'!$C$5,IF(G405&gt;=1,G405/100,G405))</f>
        <v/>
      </c>
    </row>
    <row r="425">
      <c r="B425" s="23" t="inlineStr">
        <is>
          <t>税抜売価（円）</t>
        </is>
      </c>
      <c r="C425" s="22">
        <f>IF(C405="","",IFERROR(ROUND(C405/(1+C424),2),""))</f>
        <v/>
      </c>
    </row>
    <row r="426">
      <c r="B426" s="21" t="inlineStr">
        <is>
          <t>原価率</t>
        </is>
      </c>
      <c r="C426" s="26">
        <f>IFERROR(IF(OR(C425="",C425=0),"",ROUND(C422/C425,4)),"")</f>
        <v/>
      </c>
      <c r="D426" s="7" t="inlineStr">
        <is>
          <t>判定［自動］</t>
        </is>
      </c>
      <c r="E426" s="27">
        <f>IF(C426="",IF(C404="","","売価を入力"),IF(C426&gt;C423,"超過","目標内"))</f>
        <v/>
      </c>
    </row>
    <row r="427">
      <c r="B427" s="23" t="inlineStr">
        <is>
          <t>目標との差（＋は目標超過）</t>
        </is>
      </c>
      <c r="C427" s="28">
        <f>IF(C426="","",ROUND(C426-C423,4))</f>
        <v/>
      </c>
    </row>
    <row r="428" ht="30" customHeight="1">
      <c r="B428" s="21" t="inlineStr">
        <is>
          <t>推奨売価（税込・円／目標原価率から逆算、10円単位で切り上げ）</t>
        </is>
      </c>
      <c r="C428" s="29">
        <f>IFERROR(IF(OR(C422=0,C423=0),"",ROUNDUP(ROUND(C422/C423*(1+C424),2)/10,0)*10),"")</f>
        <v/>
      </c>
    </row>
    <row r="429">
      <c r="A429" s="15" t="inlineStr">
        <is>
          <t>メニュー18</t>
        </is>
      </c>
      <c r="B429" s="16" t="inlineStr">
        <is>
          <t>【入力】メニュー名</t>
        </is>
      </c>
      <c r="C429" s="8" t="n"/>
      <c r="D429" s="17" t="n"/>
      <c r="E429" s="17" t="n"/>
      <c r="F429" s="17" t="n"/>
      <c r="G429" s="18" t="n"/>
    </row>
    <row r="430">
      <c r="B430" s="7" t="inlineStr">
        <is>
          <t>【入力】販売価格（税込・円）</t>
        </is>
      </c>
      <c r="C430" s="9" t="n"/>
      <c r="D430" s="19" t="inlineStr">
        <is>
          <t>【入力】目標原価率（空欄=設定値）</t>
        </is>
      </c>
      <c r="E430" s="10" t="n"/>
      <c r="F430" s="19" t="inlineStr">
        <is>
          <t>【入力】売価の税率（空欄=設定値）</t>
        </is>
      </c>
      <c r="G430" s="10" t="n"/>
    </row>
    <row r="431" ht="32" customHeight="1">
      <c r="A431" s="20" t="inlineStr">
        <is>
          <t>No</t>
        </is>
      </c>
      <c r="B431" s="20" t="inlineStr">
        <is>
          <t>【入力】材料名（リストから選ぶ）</t>
        </is>
      </c>
      <c r="C431" s="20" t="inlineStr">
        <is>
          <t>【入力】使用量</t>
        </is>
      </c>
      <c r="D431" s="20" t="inlineStr">
        <is>
          <t>単位［自動］</t>
        </is>
      </c>
      <c r="E431" s="20" t="inlineStr">
        <is>
          <t>単価（税抜・円/単位）［自動］</t>
        </is>
      </c>
      <c r="F431" s="20" t="inlineStr">
        <is>
          <t>原価（円）［自動］</t>
        </is>
      </c>
      <c r="G431" s="20" t="inlineStr">
        <is>
          <t>チェック［自動］</t>
        </is>
      </c>
    </row>
    <row r="432">
      <c r="A432" s="7" t="n">
        <v>1</v>
      </c>
      <c r="B432" s="8" t="n"/>
      <c r="C432" s="11" t="n"/>
      <c r="D432" s="14">
        <f>IF(B432="","",IFERROR(VLOOKUP(B432,'材料マスタ'!$B$5:$L$104,7,FALSE)&amp;"",""))</f>
        <v/>
      </c>
      <c r="E432" s="13">
        <f>IF(B432="","",IFERROR(VLOOKUP(B432,'材料マスタ'!$B$5:$L$104,11,FALSE),""))</f>
        <v/>
      </c>
      <c r="F432" s="12">
        <f>IF(OR(B432="",C432=""),"",IFERROR(ROUND(C432*E432,2),""))</f>
        <v/>
      </c>
      <c r="G432" s="14">
        <f>IF(B432="","",IFERROR(IF(VLOOKUP(B432,'材料マスタ'!$B$5:$L$104,11,FALSE)="","材料マスタを確認",IF(C432="","使用量を入力","OK")),"未登録の材料"))</f>
        <v/>
      </c>
    </row>
    <row r="433">
      <c r="A433" s="7" t="n">
        <v>2</v>
      </c>
      <c r="B433" s="8" t="n"/>
      <c r="C433" s="11" t="n"/>
      <c r="D433" s="14">
        <f>IF(B433="","",IFERROR(VLOOKUP(B433,'材料マスタ'!$B$5:$L$104,7,FALSE)&amp;"",""))</f>
        <v/>
      </c>
      <c r="E433" s="13">
        <f>IF(B433="","",IFERROR(VLOOKUP(B433,'材料マスタ'!$B$5:$L$104,11,FALSE),""))</f>
        <v/>
      </c>
      <c r="F433" s="12">
        <f>IF(OR(B433="",C433=""),"",IFERROR(ROUND(C433*E433,2),""))</f>
        <v/>
      </c>
      <c r="G433" s="14">
        <f>IF(B433="","",IFERROR(IF(VLOOKUP(B433,'材料マスタ'!$B$5:$L$104,11,FALSE)="","材料マスタを確認",IF(C433="","使用量を入力","OK")),"未登録の材料"))</f>
        <v/>
      </c>
    </row>
    <row r="434">
      <c r="A434" s="7" t="n">
        <v>3</v>
      </c>
      <c r="B434" s="8" t="n"/>
      <c r="C434" s="11" t="n"/>
      <c r="D434" s="14">
        <f>IF(B434="","",IFERROR(VLOOKUP(B434,'材料マスタ'!$B$5:$L$104,7,FALSE)&amp;"",""))</f>
        <v/>
      </c>
      <c r="E434" s="13">
        <f>IF(B434="","",IFERROR(VLOOKUP(B434,'材料マスタ'!$B$5:$L$104,11,FALSE),""))</f>
        <v/>
      </c>
      <c r="F434" s="12">
        <f>IF(OR(B434="",C434=""),"",IFERROR(ROUND(C434*E434,2),""))</f>
        <v/>
      </c>
      <c r="G434" s="14">
        <f>IF(B434="","",IFERROR(IF(VLOOKUP(B434,'材料マスタ'!$B$5:$L$104,11,FALSE)="","材料マスタを確認",IF(C434="","使用量を入力","OK")),"未登録の材料"))</f>
        <v/>
      </c>
    </row>
    <row r="435">
      <c r="A435" s="7" t="n">
        <v>4</v>
      </c>
      <c r="B435" s="8" t="n"/>
      <c r="C435" s="11" t="n"/>
      <c r="D435" s="14">
        <f>IF(B435="","",IFERROR(VLOOKUP(B435,'材料マスタ'!$B$5:$L$104,7,FALSE)&amp;"",""))</f>
        <v/>
      </c>
      <c r="E435" s="13">
        <f>IF(B435="","",IFERROR(VLOOKUP(B435,'材料マスタ'!$B$5:$L$104,11,FALSE),""))</f>
        <v/>
      </c>
      <c r="F435" s="12">
        <f>IF(OR(B435="",C435=""),"",IFERROR(ROUND(C435*E435,2),""))</f>
        <v/>
      </c>
      <c r="G435" s="14">
        <f>IF(B435="","",IFERROR(IF(VLOOKUP(B435,'材料マスタ'!$B$5:$L$104,11,FALSE)="","材料マスタを確認",IF(C435="","使用量を入力","OK")),"未登録の材料"))</f>
        <v/>
      </c>
    </row>
    <row r="436">
      <c r="A436" s="7" t="n">
        <v>5</v>
      </c>
      <c r="B436" s="8" t="n"/>
      <c r="C436" s="11" t="n"/>
      <c r="D436" s="14">
        <f>IF(B436="","",IFERROR(VLOOKUP(B436,'材料マスタ'!$B$5:$L$104,7,FALSE)&amp;"",""))</f>
        <v/>
      </c>
      <c r="E436" s="13">
        <f>IF(B436="","",IFERROR(VLOOKUP(B436,'材料マスタ'!$B$5:$L$104,11,FALSE),""))</f>
        <v/>
      </c>
      <c r="F436" s="12">
        <f>IF(OR(B436="",C436=""),"",IFERROR(ROUND(C436*E436,2),""))</f>
        <v/>
      </c>
      <c r="G436" s="14">
        <f>IF(B436="","",IFERROR(IF(VLOOKUP(B436,'材料マスタ'!$B$5:$L$104,11,FALSE)="","材料マスタを確認",IF(C436="","使用量を入力","OK")),"未登録の材料"))</f>
        <v/>
      </c>
    </row>
    <row r="437">
      <c r="A437" s="7" t="n">
        <v>6</v>
      </c>
      <c r="B437" s="8" t="n"/>
      <c r="C437" s="11" t="n"/>
      <c r="D437" s="14">
        <f>IF(B437="","",IFERROR(VLOOKUP(B437,'材料マスタ'!$B$5:$L$104,7,FALSE)&amp;"",""))</f>
        <v/>
      </c>
      <c r="E437" s="13">
        <f>IF(B437="","",IFERROR(VLOOKUP(B437,'材料マスタ'!$B$5:$L$104,11,FALSE),""))</f>
        <v/>
      </c>
      <c r="F437" s="12">
        <f>IF(OR(B437="",C437=""),"",IFERROR(ROUND(C437*E437,2),""))</f>
        <v/>
      </c>
      <c r="G437" s="14">
        <f>IF(B437="","",IFERROR(IF(VLOOKUP(B437,'材料マスタ'!$B$5:$L$104,11,FALSE)="","材料マスタを確認",IF(C437="","使用量を入力","OK")),"未登録の材料"))</f>
        <v/>
      </c>
    </row>
    <row r="438">
      <c r="A438" s="7" t="n">
        <v>7</v>
      </c>
      <c r="B438" s="8" t="n"/>
      <c r="C438" s="11" t="n"/>
      <c r="D438" s="14">
        <f>IF(B438="","",IFERROR(VLOOKUP(B438,'材料マスタ'!$B$5:$L$104,7,FALSE)&amp;"",""))</f>
        <v/>
      </c>
      <c r="E438" s="13">
        <f>IF(B438="","",IFERROR(VLOOKUP(B438,'材料マスタ'!$B$5:$L$104,11,FALSE),""))</f>
        <v/>
      </c>
      <c r="F438" s="12">
        <f>IF(OR(B438="",C438=""),"",IFERROR(ROUND(C438*E438,2),""))</f>
        <v/>
      </c>
      <c r="G438" s="14">
        <f>IF(B438="","",IFERROR(IF(VLOOKUP(B438,'材料マスタ'!$B$5:$L$104,11,FALSE)="","材料マスタを確認",IF(C438="","使用量を入力","OK")),"未登録の材料"))</f>
        <v/>
      </c>
    </row>
    <row r="439">
      <c r="A439" s="7" t="n">
        <v>8</v>
      </c>
      <c r="B439" s="8" t="n"/>
      <c r="C439" s="11" t="n"/>
      <c r="D439" s="14">
        <f>IF(B439="","",IFERROR(VLOOKUP(B439,'材料マスタ'!$B$5:$L$104,7,FALSE)&amp;"",""))</f>
        <v/>
      </c>
      <c r="E439" s="13">
        <f>IF(B439="","",IFERROR(VLOOKUP(B439,'材料マスタ'!$B$5:$L$104,11,FALSE),""))</f>
        <v/>
      </c>
      <c r="F439" s="12">
        <f>IF(OR(B439="",C439=""),"",IFERROR(ROUND(C439*E439,2),""))</f>
        <v/>
      </c>
      <c r="G439" s="14">
        <f>IF(B439="","",IFERROR(IF(VLOOKUP(B439,'材料マスタ'!$B$5:$L$104,11,FALSE)="","材料マスタを確認",IF(C439="","使用量を入力","OK")),"未登録の材料"))</f>
        <v/>
      </c>
    </row>
    <row r="440">
      <c r="A440" s="7" t="n">
        <v>9</v>
      </c>
      <c r="B440" s="8" t="n"/>
      <c r="C440" s="11" t="n"/>
      <c r="D440" s="14">
        <f>IF(B440="","",IFERROR(VLOOKUP(B440,'材料マスタ'!$B$5:$L$104,7,FALSE)&amp;"",""))</f>
        <v/>
      </c>
      <c r="E440" s="13">
        <f>IF(B440="","",IFERROR(VLOOKUP(B440,'材料マスタ'!$B$5:$L$104,11,FALSE),""))</f>
        <v/>
      </c>
      <c r="F440" s="12">
        <f>IF(OR(B440="",C440=""),"",IFERROR(ROUND(C440*E440,2),""))</f>
        <v/>
      </c>
      <c r="G440" s="14">
        <f>IF(B440="","",IFERROR(IF(VLOOKUP(B440,'材料マスタ'!$B$5:$L$104,11,FALSE)="","材料マスタを確認",IF(C440="","使用量を入力","OK")),"未登録の材料"))</f>
        <v/>
      </c>
    </row>
    <row r="441">
      <c r="A441" s="7" t="n">
        <v>10</v>
      </c>
      <c r="B441" s="8" t="n"/>
      <c r="C441" s="11" t="n"/>
      <c r="D441" s="14">
        <f>IF(B441="","",IFERROR(VLOOKUP(B441,'材料マスタ'!$B$5:$L$104,7,FALSE)&amp;"",""))</f>
        <v/>
      </c>
      <c r="E441" s="13">
        <f>IF(B441="","",IFERROR(VLOOKUP(B441,'材料マスタ'!$B$5:$L$104,11,FALSE),""))</f>
        <v/>
      </c>
      <c r="F441" s="12">
        <f>IF(OR(B441="",C441=""),"",IFERROR(ROUND(C441*E441,2),""))</f>
        <v/>
      </c>
      <c r="G441" s="14">
        <f>IF(B441="","",IFERROR(IF(VLOOKUP(B441,'材料マスタ'!$B$5:$L$104,11,FALSE)="","材料マスタを確認",IF(C441="","使用量を入力","OK")),"未登録の材料"))</f>
        <v/>
      </c>
    </row>
    <row r="442">
      <c r="A442" s="7" t="n">
        <v>11</v>
      </c>
      <c r="B442" s="8" t="n"/>
      <c r="C442" s="11" t="n"/>
      <c r="D442" s="14">
        <f>IF(B442="","",IFERROR(VLOOKUP(B442,'材料マスタ'!$B$5:$L$104,7,FALSE)&amp;"",""))</f>
        <v/>
      </c>
      <c r="E442" s="13">
        <f>IF(B442="","",IFERROR(VLOOKUP(B442,'材料マスタ'!$B$5:$L$104,11,FALSE),""))</f>
        <v/>
      </c>
      <c r="F442" s="12">
        <f>IF(OR(B442="",C442=""),"",IFERROR(ROUND(C442*E442,2),""))</f>
        <v/>
      </c>
      <c r="G442" s="14">
        <f>IF(B442="","",IFERROR(IF(VLOOKUP(B442,'材料マスタ'!$B$5:$L$104,11,FALSE)="","材料マスタを確認",IF(C442="","使用量を入力","OK")),"未登録の材料"))</f>
        <v/>
      </c>
    </row>
    <row r="443">
      <c r="A443" s="7" t="n">
        <v>12</v>
      </c>
      <c r="B443" s="8" t="n"/>
      <c r="C443" s="11" t="n"/>
      <c r="D443" s="14">
        <f>IF(B443="","",IFERROR(VLOOKUP(B443,'材料マスタ'!$B$5:$L$104,7,FALSE)&amp;"",""))</f>
        <v/>
      </c>
      <c r="E443" s="13">
        <f>IF(B443="","",IFERROR(VLOOKUP(B443,'材料マスタ'!$B$5:$L$104,11,FALSE),""))</f>
        <v/>
      </c>
      <c r="F443" s="12">
        <f>IF(OR(B443="",C443=""),"",IFERROR(ROUND(C443*E443,2),""))</f>
        <v/>
      </c>
      <c r="G443" s="14">
        <f>IF(B443="","",IFERROR(IF(VLOOKUP(B443,'材料マスタ'!$B$5:$L$104,11,FALSE)="","材料マスタを確認",IF(C443="","使用量を入力","OK")),"未登録の材料"))</f>
        <v/>
      </c>
    </row>
    <row r="444">
      <c r="A444" s="7" t="n">
        <v>13</v>
      </c>
      <c r="B444" s="8" t="n"/>
      <c r="C444" s="11" t="n"/>
      <c r="D444" s="14">
        <f>IF(B444="","",IFERROR(VLOOKUP(B444,'材料マスタ'!$B$5:$L$104,7,FALSE)&amp;"",""))</f>
        <v/>
      </c>
      <c r="E444" s="13">
        <f>IF(B444="","",IFERROR(VLOOKUP(B444,'材料マスタ'!$B$5:$L$104,11,FALSE),""))</f>
        <v/>
      </c>
      <c r="F444" s="12">
        <f>IF(OR(B444="",C444=""),"",IFERROR(ROUND(C444*E444,2),""))</f>
        <v/>
      </c>
      <c r="G444" s="14">
        <f>IF(B444="","",IFERROR(IF(VLOOKUP(B444,'材料マスタ'!$B$5:$L$104,11,FALSE)="","材料マスタを確認",IF(C444="","使用量を入力","OK")),"未登録の材料"))</f>
        <v/>
      </c>
    </row>
    <row r="445">
      <c r="A445" s="7" t="n">
        <v>14</v>
      </c>
      <c r="B445" s="8" t="n"/>
      <c r="C445" s="11" t="n"/>
      <c r="D445" s="14">
        <f>IF(B445="","",IFERROR(VLOOKUP(B445,'材料マスタ'!$B$5:$L$104,7,FALSE)&amp;"",""))</f>
        <v/>
      </c>
      <c r="E445" s="13">
        <f>IF(B445="","",IFERROR(VLOOKUP(B445,'材料マスタ'!$B$5:$L$104,11,FALSE),""))</f>
        <v/>
      </c>
      <c r="F445" s="12">
        <f>IF(OR(B445="",C445=""),"",IFERROR(ROUND(C445*E445,2),""))</f>
        <v/>
      </c>
      <c r="G445" s="14">
        <f>IF(B445="","",IFERROR(IF(VLOOKUP(B445,'材料マスタ'!$B$5:$L$104,11,FALSE)="","材料マスタを確認",IF(C445="","使用量を入力","OK")),"未登録の材料"))</f>
        <v/>
      </c>
    </row>
    <row r="446">
      <c r="A446" s="7" t="n">
        <v>15</v>
      </c>
      <c r="B446" s="8" t="n"/>
      <c r="C446" s="11" t="n"/>
      <c r="D446" s="14">
        <f>IF(B446="","",IFERROR(VLOOKUP(B446,'材料マスタ'!$B$5:$L$104,7,FALSE)&amp;"",""))</f>
        <v/>
      </c>
      <c r="E446" s="13">
        <f>IF(B446="","",IFERROR(VLOOKUP(B446,'材料マスタ'!$B$5:$L$104,11,FALSE),""))</f>
        <v/>
      </c>
      <c r="F446" s="12">
        <f>IF(OR(B446="",C446=""),"",IFERROR(ROUND(C446*E446,2),""))</f>
        <v/>
      </c>
      <c r="G446" s="14">
        <f>IF(B446="","",IFERROR(IF(VLOOKUP(B446,'材料マスタ'!$B$5:$L$104,11,FALSE)="","材料マスタを確認",IF(C446="","使用量を入力","OK")),"未登録の材料"))</f>
        <v/>
      </c>
    </row>
    <row r="447">
      <c r="B447" s="21" t="inlineStr">
        <is>
          <t>合計原価（税抜・円）</t>
        </is>
      </c>
      <c r="C447" s="22">
        <f>SUM(F432:F446)</f>
        <v/>
      </c>
    </row>
    <row r="448">
      <c r="B448" s="23" t="inlineStr">
        <is>
          <t>目標原価率（適用値）</t>
        </is>
      </c>
      <c r="C448" s="24">
        <f>IF(E430="",'設定'!$C$4,IF(E430&gt;1,E430/100,E430))</f>
        <v/>
      </c>
    </row>
    <row r="449">
      <c r="B449" s="23" t="inlineStr">
        <is>
          <t>売価の税率（適用値）</t>
        </is>
      </c>
      <c r="C449" s="25">
        <f>IF(G430="",'設定'!$C$5,IF(G430&gt;=1,G430/100,G430))</f>
        <v/>
      </c>
    </row>
    <row r="450">
      <c r="B450" s="23" t="inlineStr">
        <is>
          <t>税抜売価（円）</t>
        </is>
      </c>
      <c r="C450" s="22">
        <f>IF(C430="","",IFERROR(ROUND(C430/(1+C449),2),""))</f>
        <v/>
      </c>
    </row>
    <row r="451">
      <c r="B451" s="21" t="inlineStr">
        <is>
          <t>原価率</t>
        </is>
      </c>
      <c r="C451" s="26">
        <f>IFERROR(IF(OR(C450="",C450=0),"",ROUND(C447/C450,4)),"")</f>
        <v/>
      </c>
      <c r="D451" s="7" t="inlineStr">
        <is>
          <t>判定［自動］</t>
        </is>
      </c>
      <c r="E451" s="27">
        <f>IF(C451="",IF(C429="","","売価を入力"),IF(C451&gt;C448,"超過","目標内"))</f>
        <v/>
      </c>
    </row>
    <row r="452">
      <c r="B452" s="23" t="inlineStr">
        <is>
          <t>目標との差（＋は目標超過）</t>
        </is>
      </c>
      <c r="C452" s="28">
        <f>IF(C451="","",ROUND(C451-C448,4))</f>
        <v/>
      </c>
    </row>
    <row r="453" ht="30" customHeight="1">
      <c r="B453" s="21" t="inlineStr">
        <is>
          <t>推奨売価（税込・円／目標原価率から逆算、10円単位で切り上げ）</t>
        </is>
      </c>
      <c r="C453" s="29">
        <f>IFERROR(IF(OR(C447=0,C448=0),"",ROUNDUP(ROUND(C447/C448*(1+C449),2)/10,0)*10),"")</f>
        <v/>
      </c>
    </row>
    <row r="454">
      <c r="A454" s="15" t="inlineStr">
        <is>
          <t>メニュー19</t>
        </is>
      </c>
      <c r="B454" s="16" t="inlineStr">
        <is>
          <t>【入力】メニュー名</t>
        </is>
      </c>
      <c r="C454" s="8" t="n"/>
      <c r="D454" s="17" t="n"/>
      <c r="E454" s="17" t="n"/>
      <c r="F454" s="17" t="n"/>
      <c r="G454" s="18" t="n"/>
    </row>
    <row r="455">
      <c r="B455" s="7" t="inlineStr">
        <is>
          <t>【入力】販売価格（税込・円）</t>
        </is>
      </c>
      <c r="C455" s="9" t="n"/>
      <c r="D455" s="19" t="inlineStr">
        <is>
          <t>【入力】目標原価率（空欄=設定値）</t>
        </is>
      </c>
      <c r="E455" s="10" t="n"/>
      <c r="F455" s="19" t="inlineStr">
        <is>
          <t>【入力】売価の税率（空欄=設定値）</t>
        </is>
      </c>
      <c r="G455" s="10" t="n"/>
    </row>
    <row r="456" ht="32" customHeight="1">
      <c r="A456" s="20" t="inlineStr">
        <is>
          <t>No</t>
        </is>
      </c>
      <c r="B456" s="20" t="inlineStr">
        <is>
          <t>【入力】材料名（リストから選ぶ）</t>
        </is>
      </c>
      <c r="C456" s="20" t="inlineStr">
        <is>
          <t>【入力】使用量</t>
        </is>
      </c>
      <c r="D456" s="20" t="inlineStr">
        <is>
          <t>単位［自動］</t>
        </is>
      </c>
      <c r="E456" s="20" t="inlineStr">
        <is>
          <t>単価（税抜・円/単位）［自動］</t>
        </is>
      </c>
      <c r="F456" s="20" t="inlineStr">
        <is>
          <t>原価（円）［自動］</t>
        </is>
      </c>
      <c r="G456" s="20" t="inlineStr">
        <is>
          <t>チェック［自動］</t>
        </is>
      </c>
    </row>
    <row r="457">
      <c r="A457" s="7" t="n">
        <v>1</v>
      </c>
      <c r="B457" s="8" t="n"/>
      <c r="C457" s="11" t="n"/>
      <c r="D457" s="14">
        <f>IF(B457="","",IFERROR(VLOOKUP(B457,'材料マスタ'!$B$5:$L$104,7,FALSE)&amp;"",""))</f>
        <v/>
      </c>
      <c r="E457" s="13">
        <f>IF(B457="","",IFERROR(VLOOKUP(B457,'材料マスタ'!$B$5:$L$104,11,FALSE),""))</f>
        <v/>
      </c>
      <c r="F457" s="12">
        <f>IF(OR(B457="",C457=""),"",IFERROR(ROUND(C457*E457,2),""))</f>
        <v/>
      </c>
      <c r="G457" s="14">
        <f>IF(B457="","",IFERROR(IF(VLOOKUP(B457,'材料マスタ'!$B$5:$L$104,11,FALSE)="","材料マスタを確認",IF(C457="","使用量を入力","OK")),"未登録の材料"))</f>
        <v/>
      </c>
    </row>
    <row r="458">
      <c r="A458" s="7" t="n">
        <v>2</v>
      </c>
      <c r="B458" s="8" t="n"/>
      <c r="C458" s="11" t="n"/>
      <c r="D458" s="14">
        <f>IF(B458="","",IFERROR(VLOOKUP(B458,'材料マスタ'!$B$5:$L$104,7,FALSE)&amp;"",""))</f>
        <v/>
      </c>
      <c r="E458" s="13">
        <f>IF(B458="","",IFERROR(VLOOKUP(B458,'材料マスタ'!$B$5:$L$104,11,FALSE),""))</f>
        <v/>
      </c>
      <c r="F458" s="12">
        <f>IF(OR(B458="",C458=""),"",IFERROR(ROUND(C458*E458,2),""))</f>
        <v/>
      </c>
      <c r="G458" s="14">
        <f>IF(B458="","",IFERROR(IF(VLOOKUP(B458,'材料マスタ'!$B$5:$L$104,11,FALSE)="","材料マスタを確認",IF(C458="","使用量を入力","OK")),"未登録の材料"))</f>
        <v/>
      </c>
    </row>
    <row r="459">
      <c r="A459" s="7" t="n">
        <v>3</v>
      </c>
      <c r="B459" s="8" t="n"/>
      <c r="C459" s="11" t="n"/>
      <c r="D459" s="14">
        <f>IF(B459="","",IFERROR(VLOOKUP(B459,'材料マスタ'!$B$5:$L$104,7,FALSE)&amp;"",""))</f>
        <v/>
      </c>
      <c r="E459" s="13">
        <f>IF(B459="","",IFERROR(VLOOKUP(B459,'材料マスタ'!$B$5:$L$104,11,FALSE),""))</f>
        <v/>
      </c>
      <c r="F459" s="12">
        <f>IF(OR(B459="",C459=""),"",IFERROR(ROUND(C459*E459,2),""))</f>
        <v/>
      </c>
      <c r="G459" s="14">
        <f>IF(B459="","",IFERROR(IF(VLOOKUP(B459,'材料マスタ'!$B$5:$L$104,11,FALSE)="","材料マスタを確認",IF(C459="","使用量を入力","OK")),"未登録の材料"))</f>
        <v/>
      </c>
    </row>
    <row r="460">
      <c r="A460" s="7" t="n">
        <v>4</v>
      </c>
      <c r="B460" s="8" t="n"/>
      <c r="C460" s="11" t="n"/>
      <c r="D460" s="14">
        <f>IF(B460="","",IFERROR(VLOOKUP(B460,'材料マスタ'!$B$5:$L$104,7,FALSE)&amp;"",""))</f>
        <v/>
      </c>
      <c r="E460" s="13">
        <f>IF(B460="","",IFERROR(VLOOKUP(B460,'材料マスタ'!$B$5:$L$104,11,FALSE),""))</f>
        <v/>
      </c>
      <c r="F460" s="12">
        <f>IF(OR(B460="",C460=""),"",IFERROR(ROUND(C460*E460,2),""))</f>
        <v/>
      </c>
      <c r="G460" s="14">
        <f>IF(B460="","",IFERROR(IF(VLOOKUP(B460,'材料マスタ'!$B$5:$L$104,11,FALSE)="","材料マスタを確認",IF(C460="","使用量を入力","OK")),"未登録の材料"))</f>
        <v/>
      </c>
    </row>
    <row r="461">
      <c r="A461" s="7" t="n">
        <v>5</v>
      </c>
      <c r="B461" s="8" t="n"/>
      <c r="C461" s="11" t="n"/>
      <c r="D461" s="14">
        <f>IF(B461="","",IFERROR(VLOOKUP(B461,'材料マスタ'!$B$5:$L$104,7,FALSE)&amp;"",""))</f>
        <v/>
      </c>
      <c r="E461" s="13">
        <f>IF(B461="","",IFERROR(VLOOKUP(B461,'材料マスタ'!$B$5:$L$104,11,FALSE),""))</f>
        <v/>
      </c>
      <c r="F461" s="12">
        <f>IF(OR(B461="",C461=""),"",IFERROR(ROUND(C461*E461,2),""))</f>
        <v/>
      </c>
      <c r="G461" s="14">
        <f>IF(B461="","",IFERROR(IF(VLOOKUP(B461,'材料マスタ'!$B$5:$L$104,11,FALSE)="","材料マスタを確認",IF(C461="","使用量を入力","OK")),"未登録の材料"))</f>
        <v/>
      </c>
    </row>
    <row r="462">
      <c r="A462" s="7" t="n">
        <v>6</v>
      </c>
      <c r="B462" s="8" t="n"/>
      <c r="C462" s="11" t="n"/>
      <c r="D462" s="14">
        <f>IF(B462="","",IFERROR(VLOOKUP(B462,'材料マスタ'!$B$5:$L$104,7,FALSE)&amp;"",""))</f>
        <v/>
      </c>
      <c r="E462" s="13">
        <f>IF(B462="","",IFERROR(VLOOKUP(B462,'材料マスタ'!$B$5:$L$104,11,FALSE),""))</f>
        <v/>
      </c>
      <c r="F462" s="12">
        <f>IF(OR(B462="",C462=""),"",IFERROR(ROUND(C462*E462,2),""))</f>
        <v/>
      </c>
      <c r="G462" s="14">
        <f>IF(B462="","",IFERROR(IF(VLOOKUP(B462,'材料マスタ'!$B$5:$L$104,11,FALSE)="","材料マスタを確認",IF(C462="","使用量を入力","OK")),"未登録の材料"))</f>
        <v/>
      </c>
    </row>
    <row r="463">
      <c r="A463" s="7" t="n">
        <v>7</v>
      </c>
      <c r="B463" s="8" t="n"/>
      <c r="C463" s="11" t="n"/>
      <c r="D463" s="14">
        <f>IF(B463="","",IFERROR(VLOOKUP(B463,'材料マスタ'!$B$5:$L$104,7,FALSE)&amp;"",""))</f>
        <v/>
      </c>
      <c r="E463" s="13">
        <f>IF(B463="","",IFERROR(VLOOKUP(B463,'材料マスタ'!$B$5:$L$104,11,FALSE),""))</f>
        <v/>
      </c>
      <c r="F463" s="12">
        <f>IF(OR(B463="",C463=""),"",IFERROR(ROUND(C463*E463,2),""))</f>
        <v/>
      </c>
      <c r="G463" s="14">
        <f>IF(B463="","",IFERROR(IF(VLOOKUP(B463,'材料マスタ'!$B$5:$L$104,11,FALSE)="","材料マスタを確認",IF(C463="","使用量を入力","OK")),"未登録の材料"))</f>
        <v/>
      </c>
    </row>
    <row r="464">
      <c r="A464" s="7" t="n">
        <v>8</v>
      </c>
      <c r="B464" s="8" t="n"/>
      <c r="C464" s="11" t="n"/>
      <c r="D464" s="14">
        <f>IF(B464="","",IFERROR(VLOOKUP(B464,'材料マスタ'!$B$5:$L$104,7,FALSE)&amp;"",""))</f>
        <v/>
      </c>
      <c r="E464" s="13">
        <f>IF(B464="","",IFERROR(VLOOKUP(B464,'材料マスタ'!$B$5:$L$104,11,FALSE),""))</f>
        <v/>
      </c>
      <c r="F464" s="12">
        <f>IF(OR(B464="",C464=""),"",IFERROR(ROUND(C464*E464,2),""))</f>
        <v/>
      </c>
      <c r="G464" s="14">
        <f>IF(B464="","",IFERROR(IF(VLOOKUP(B464,'材料マスタ'!$B$5:$L$104,11,FALSE)="","材料マスタを確認",IF(C464="","使用量を入力","OK")),"未登録の材料"))</f>
        <v/>
      </c>
    </row>
    <row r="465">
      <c r="A465" s="7" t="n">
        <v>9</v>
      </c>
      <c r="B465" s="8" t="n"/>
      <c r="C465" s="11" t="n"/>
      <c r="D465" s="14">
        <f>IF(B465="","",IFERROR(VLOOKUP(B465,'材料マスタ'!$B$5:$L$104,7,FALSE)&amp;"",""))</f>
        <v/>
      </c>
      <c r="E465" s="13">
        <f>IF(B465="","",IFERROR(VLOOKUP(B465,'材料マスタ'!$B$5:$L$104,11,FALSE),""))</f>
        <v/>
      </c>
      <c r="F465" s="12">
        <f>IF(OR(B465="",C465=""),"",IFERROR(ROUND(C465*E465,2),""))</f>
        <v/>
      </c>
      <c r="G465" s="14">
        <f>IF(B465="","",IFERROR(IF(VLOOKUP(B465,'材料マスタ'!$B$5:$L$104,11,FALSE)="","材料マスタを確認",IF(C465="","使用量を入力","OK")),"未登録の材料"))</f>
        <v/>
      </c>
    </row>
    <row r="466">
      <c r="A466" s="7" t="n">
        <v>10</v>
      </c>
      <c r="B466" s="8" t="n"/>
      <c r="C466" s="11" t="n"/>
      <c r="D466" s="14">
        <f>IF(B466="","",IFERROR(VLOOKUP(B466,'材料マスタ'!$B$5:$L$104,7,FALSE)&amp;"",""))</f>
        <v/>
      </c>
      <c r="E466" s="13">
        <f>IF(B466="","",IFERROR(VLOOKUP(B466,'材料マスタ'!$B$5:$L$104,11,FALSE),""))</f>
        <v/>
      </c>
      <c r="F466" s="12">
        <f>IF(OR(B466="",C466=""),"",IFERROR(ROUND(C466*E466,2),""))</f>
        <v/>
      </c>
      <c r="G466" s="14">
        <f>IF(B466="","",IFERROR(IF(VLOOKUP(B466,'材料マスタ'!$B$5:$L$104,11,FALSE)="","材料マスタを確認",IF(C466="","使用量を入力","OK")),"未登録の材料"))</f>
        <v/>
      </c>
    </row>
    <row r="467">
      <c r="A467" s="7" t="n">
        <v>11</v>
      </c>
      <c r="B467" s="8" t="n"/>
      <c r="C467" s="11" t="n"/>
      <c r="D467" s="14">
        <f>IF(B467="","",IFERROR(VLOOKUP(B467,'材料マスタ'!$B$5:$L$104,7,FALSE)&amp;"",""))</f>
        <v/>
      </c>
      <c r="E467" s="13">
        <f>IF(B467="","",IFERROR(VLOOKUP(B467,'材料マスタ'!$B$5:$L$104,11,FALSE),""))</f>
        <v/>
      </c>
      <c r="F467" s="12">
        <f>IF(OR(B467="",C467=""),"",IFERROR(ROUND(C467*E467,2),""))</f>
        <v/>
      </c>
      <c r="G467" s="14">
        <f>IF(B467="","",IFERROR(IF(VLOOKUP(B467,'材料マスタ'!$B$5:$L$104,11,FALSE)="","材料マスタを確認",IF(C467="","使用量を入力","OK")),"未登録の材料"))</f>
        <v/>
      </c>
    </row>
    <row r="468">
      <c r="A468" s="7" t="n">
        <v>12</v>
      </c>
      <c r="B468" s="8" t="n"/>
      <c r="C468" s="11" t="n"/>
      <c r="D468" s="14">
        <f>IF(B468="","",IFERROR(VLOOKUP(B468,'材料マスタ'!$B$5:$L$104,7,FALSE)&amp;"",""))</f>
        <v/>
      </c>
      <c r="E468" s="13">
        <f>IF(B468="","",IFERROR(VLOOKUP(B468,'材料マスタ'!$B$5:$L$104,11,FALSE),""))</f>
        <v/>
      </c>
      <c r="F468" s="12">
        <f>IF(OR(B468="",C468=""),"",IFERROR(ROUND(C468*E468,2),""))</f>
        <v/>
      </c>
      <c r="G468" s="14">
        <f>IF(B468="","",IFERROR(IF(VLOOKUP(B468,'材料マスタ'!$B$5:$L$104,11,FALSE)="","材料マスタを確認",IF(C468="","使用量を入力","OK")),"未登録の材料"))</f>
        <v/>
      </c>
    </row>
    <row r="469">
      <c r="A469" s="7" t="n">
        <v>13</v>
      </c>
      <c r="B469" s="8" t="n"/>
      <c r="C469" s="11" t="n"/>
      <c r="D469" s="14">
        <f>IF(B469="","",IFERROR(VLOOKUP(B469,'材料マスタ'!$B$5:$L$104,7,FALSE)&amp;"",""))</f>
        <v/>
      </c>
      <c r="E469" s="13">
        <f>IF(B469="","",IFERROR(VLOOKUP(B469,'材料マスタ'!$B$5:$L$104,11,FALSE),""))</f>
        <v/>
      </c>
      <c r="F469" s="12">
        <f>IF(OR(B469="",C469=""),"",IFERROR(ROUND(C469*E469,2),""))</f>
        <v/>
      </c>
      <c r="G469" s="14">
        <f>IF(B469="","",IFERROR(IF(VLOOKUP(B469,'材料マスタ'!$B$5:$L$104,11,FALSE)="","材料マスタを確認",IF(C469="","使用量を入力","OK")),"未登録の材料"))</f>
        <v/>
      </c>
    </row>
    <row r="470">
      <c r="A470" s="7" t="n">
        <v>14</v>
      </c>
      <c r="B470" s="8" t="n"/>
      <c r="C470" s="11" t="n"/>
      <c r="D470" s="14">
        <f>IF(B470="","",IFERROR(VLOOKUP(B470,'材料マスタ'!$B$5:$L$104,7,FALSE)&amp;"",""))</f>
        <v/>
      </c>
      <c r="E470" s="13">
        <f>IF(B470="","",IFERROR(VLOOKUP(B470,'材料マスタ'!$B$5:$L$104,11,FALSE),""))</f>
        <v/>
      </c>
      <c r="F470" s="12">
        <f>IF(OR(B470="",C470=""),"",IFERROR(ROUND(C470*E470,2),""))</f>
        <v/>
      </c>
      <c r="G470" s="14">
        <f>IF(B470="","",IFERROR(IF(VLOOKUP(B470,'材料マスタ'!$B$5:$L$104,11,FALSE)="","材料マスタを確認",IF(C470="","使用量を入力","OK")),"未登録の材料"))</f>
        <v/>
      </c>
    </row>
    <row r="471">
      <c r="A471" s="7" t="n">
        <v>15</v>
      </c>
      <c r="B471" s="8" t="n"/>
      <c r="C471" s="11" t="n"/>
      <c r="D471" s="14">
        <f>IF(B471="","",IFERROR(VLOOKUP(B471,'材料マスタ'!$B$5:$L$104,7,FALSE)&amp;"",""))</f>
        <v/>
      </c>
      <c r="E471" s="13">
        <f>IF(B471="","",IFERROR(VLOOKUP(B471,'材料マスタ'!$B$5:$L$104,11,FALSE),""))</f>
        <v/>
      </c>
      <c r="F471" s="12">
        <f>IF(OR(B471="",C471=""),"",IFERROR(ROUND(C471*E471,2),""))</f>
        <v/>
      </c>
      <c r="G471" s="14">
        <f>IF(B471="","",IFERROR(IF(VLOOKUP(B471,'材料マスタ'!$B$5:$L$104,11,FALSE)="","材料マスタを確認",IF(C471="","使用量を入力","OK")),"未登録の材料"))</f>
        <v/>
      </c>
    </row>
    <row r="472">
      <c r="B472" s="21" t="inlineStr">
        <is>
          <t>合計原価（税抜・円）</t>
        </is>
      </c>
      <c r="C472" s="22">
        <f>SUM(F457:F471)</f>
        <v/>
      </c>
    </row>
    <row r="473">
      <c r="B473" s="23" t="inlineStr">
        <is>
          <t>目標原価率（適用値）</t>
        </is>
      </c>
      <c r="C473" s="24">
        <f>IF(E455="",'設定'!$C$4,IF(E455&gt;1,E455/100,E455))</f>
        <v/>
      </c>
    </row>
    <row r="474">
      <c r="B474" s="23" t="inlineStr">
        <is>
          <t>売価の税率（適用値）</t>
        </is>
      </c>
      <c r="C474" s="25">
        <f>IF(G455="",'設定'!$C$5,IF(G455&gt;=1,G455/100,G455))</f>
        <v/>
      </c>
    </row>
    <row r="475">
      <c r="B475" s="23" t="inlineStr">
        <is>
          <t>税抜売価（円）</t>
        </is>
      </c>
      <c r="C475" s="22">
        <f>IF(C455="","",IFERROR(ROUND(C455/(1+C474),2),""))</f>
        <v/>
      </c>
    </row>
    <row r="476">
      <c r="B476" s="21" t="inlineStr">
        <is>
          <t>原価率</t>
        </is>
      </c>
      <c r="C476" s="26">
        <f>IFERROR(IF(OR(C475="",C475=0),"",ROUND(C472/C475,4)),"")</f>
        <v/>
      </c>
      <c r="D476" s="7" t="inlineStr">
        <is>
          <t>判定［自動］</t>
        </is>
      </c>
      <c r="E476" s="27">
        <f>IF(C476="",IF(C454="","","売価を入力"),IF(C476&gt;C473,"超過","目標内"))</f>
        <v/>
      </c>
    </row>
    <row r="477">
      <c r="B477" s="23" t="inlineStr">
        <is>
          <t>目標との差（＋は目標超過）</t>
        </is>
      </c>
      <c r="C477" s="28">
        <f>IF(C476="","",ROUND(C476-C473,4))</f>
        <v/>
      </c>
    </row>
    <row r="478" ht="30" customHeight="1">
      <c r="B478" s="21" t="inlineStr">
        <is>
          <t>推奨売価（税込・円／目標原価率から逆算、10円単位で切り上げ）</t>
        </is>
      </c>
      <c r="C478" s="29">
        <f>IFERROR(IF(OR(C472=0,C473=0),"",ROUNDUP(ROUND(C472/C473*(1+C474),2)/10,0)*10),"")</f>
        <v/>
      </c>
    </row>
    <row r="479">
      <c r="A479" s="15" t="inlineStr">
        <is>
          <t>メニュー20</t>
        </is>
      </c>
      <c r="B479" s="16" t="inlineStr">
        <is>
          <t>【入力】メニュー名</t>
        </is>
      </c>
      <c r="C479" s="8" t="n"/>
      <c r="D479" s="17" t="n"/>
      <c r="E479" s="17" t="n"/>
      <c r="F479" s="17" t="n"/>
      <c r="G479" s="18" t="n"/>
    </row>
    <row r="480">
      <c r="B480" s="7" t="inlineStr">
        <is>
          <t>【入力】販売価格（税込・円）</t>
        </is>
      </c>
      <c r="C480" s="9" t="n"/>
      <c r="D480" s="19" t="inlineStr">
        <is>
          <t>【入力】目標原価率（空欄=設定値）</t>
        </is>
      </c>
      <c r="E480" s="10" t="n"/>
      <c r="F480" s="19" t="inlineStr">
        <is>
          <t>【入力】売価の税率（空欄=設定値）</t>
        </is>
      </c>
      <c r="G480" s="10" t="n"/>
    </row>
    <row r="481" ht="32" customHeight="1">
      <c r="A481" s="20" t="inlineStr">
        <is>
          <t>No</t>
        </is>
      </c>
      <c r="B481" s="20" t="inlineStr">
        <is>
          <t>【入力】材料名（リストから選ぶ）</t>
        </is>
      </c>
      <c r="C481" s="20" t="inlineStr">
        <is>
          <t>【入力】使用量</t>
        </is>
      </c>
      <c r="D481" s="20" t="inlineStr">
        <is>
          <t>単位［自動］</t>
        </is>
      </c>
      <c r="E481" s="20" t="inlineStr">
        <is>
          <t>単価（税抜・円/単位）［自動］</t>
        </is>
      </c>
      <c r="F481" s="20" t="inlineStr">
        <is>
          <t>原価（円）［自動］</t>
        </is>
      </c>
      <c r="G481" s="20" t="inlineStr">
        <is>
          <t>チェック［自動］</t>
        </is>
      </c>
    </row>
    <row r="482">
      <c r="A482" s="7" t="n">
        <v>1</v>
      </c>
      <c r="B482" s="8" t="n"/>
      <c r="C482" s="11" t="n"/>
      <c r="D482" s="14">
        <f>IF(B482="","",IFERROR(VLOOKUP(B482,'材料マスタ'!$B$5:$L$104,7,FALSE)&amp;"",""))</f>
        <v/>
      </c>
      <c r="E482" s="13">
        <f>IF(B482="","",IFERROR(VLOOKUP(B482,'材料マスタ'!$B$5:$L$104,11,FALSE),""))</f>
        <v/>
      </c>
      <c r="F482" s="12">
        <f>IF(OR(B482="",C482=""),"",IFERROR(ROUND(C482*E482,2),""))</f>
        <v/>
      </c>
      <c r="G482" s="14">
        <f>IF(B482="","",IFERROR(IF(VLOOKUP(B482,'材料マスタ'!$B$5:$L$104,11,FALSE)="","材料マスタを確認",IF(C482="","使用量を入力","OK")),"未登録の材料"))</f>
        <v/>
      </c>
    </row>
    <row r="483">
      <c r="A483" s="7" t="n">
        <v>2</v>
      </c>
      <c r="B483" s="8" t="n"/>
      <c r="C483" s="11" t="n"/>
      <c r="D483" s="14">
        <f>IF(B483="","",IFERROR(VLOOKUP(B483,'材料マスタ'!$B$5:$L$104,7,FALSE)&amp;"",""))</f>
        <v/>
      </c>
      <c r="E483" s="13">
        <f>IF(B483="","",IFERROR(VLOOKUP(B483,'材料マスタ'!$B$5:$L$104,11,FALSE),""))</f>
        <v/>
      </c>
      <c r="F483" s="12">
        <f>IF(OR(B483="",C483=""),"",IFERROR(ROUND(C483*E483,2),""))</f>
        <v/>
      </c>
      <c r="G483" s="14">
        <f>IF(B483="","",IFERROR(IF(VLOOKUP(B483,'材料マスタ'!$B$5:$L$104,11,FALSE)="","材料マスタを確認",IF(C483="","使用量を入力","OK")),"未登録の材料"))</f>
        <v/>
      </c>
    </row>
    <row r="484">
      <c r="A484" s="7" t="n">
        <v>3</v>
      </c>
      <c r="B484" s="8" t="n"/>
      <c r="C484" s="11" t="n"/>
      <c r="D484" s="14">
        <f>IF(B484="","",IFERROR(VLOOKUP(B484,'材料マスタ'!$B$5:$L$104,7,FALSE)&amp;"",""))</f>
        <v/>
      </c>
      <c r="E484" s="13">
        <f>IF(B484="","",IFERROR(VLOOKUP(B484,'材料マスタ'!$B$5:$L$104,11,FALSE),""))</f>
        <v/>
      </c>
      <c r="F484" s="12">
        <f>IF(OR(B484="",C484=""),"",IFERROR(ROUND(C484*E484,2),""))</f>
        <v/>
      </c>
      <c r="G484" s="14">
        <f>IF(B484="","",IFERROR(IF(VLOOKUP(B484,'材料マスタ'!$B$5:$L$104,11,FALSE)="","材料マスタを確認",IF(C484="","使用量を入力","OK")),"未登録の材料"))</f>
        <v/>
      </c>
    </row>
    <row r="485">
      <c r="A485" s="7" t="n">
        <v>4</v>
      </c>
      <c r="B485" s="8" t="n"/>
      <c r="C485" s="11" t="n"/>
      <c r="D485" s="14">
        <f>IF(B485="","",IFERROR(VLOOKUP(B485,'材料マスタ'!$B$5:$L$104,7,FALSE)&amp;"",""))</f>
        <v/>
      </c>
      <c r="E485" s="13">
        <f>IF(B485="","",IFERROR(VLOOKUP(B485,'材料マスタ'!$B$5:$L$104,11,FALSE),""))</f>
        <v/>
      </c>
      <c r="F485" s="12">
        <f>IF(OR(B485="",C485=""),"",IFERROR(ROUND(C485*E485,2),""))</f>
        <v/>
      </c>
      <c r="G485" s="14">
        <f>IF(B485="","",IFERROR(IF(VLOOKUP(B485,'材料マスタ'!$B$5:$L$104,11,FALSE)="","材料マスタを確認",IF(C485="","使用量を入力","OK")),"未登録の材料"))</f>
        <v/>
      </c>
    </row>
    <row r="486">
      <c r="A486" s="7" t="n">
        <v>5</v>
      </c>
      <c r="B486" s="8" t="n"/>
      <c r="C486" s="11" t="n"/>
      <c r="D486" s="14">
        <f>IF(B486="","",IFERROR(VLOOKUP(B486,'材料マスタ'!$B$5:$L$104,7,FALSE)&amp;"",""))</f>
        <v/>
      </c>
      <c r="E486" s="13">
        <f>IF(B486="","",IFERROR(VLOOKUP(B486,'材料マスタ'!$B$5:$L$104,11,FALSE),""))</f>
        <v/>
      </c>
      <c r="F486" s="12">
        <f>IF(OR(B486="",C486=""),"",IFERROR(ROUND(C486*E486,2),""))</f>
        <v/>
      </c>
      <c r="G486" s="14">
        <f>IF(B486="","",IFERROR(IF(VLOOKUP(B486,'材料マスタ'!$B$5:$L$104,11,FALSE)="","材料マスタを確認",IF(C486="","使用量を入力","OK")),"未登録の材料"))</f>
        <v/>
      </c>
    </row>
    <row r="487">
      <c r="A487" s="7" t="n">
        <v>6</v>
      </c>
      <c r="B487" s="8" t="n"/>
      <c r="C487" s="11" t="n"/>
      <c r="D487" s="14">
        <f>IF(B487="","",IFERROR(VLOOKUP(B487,'材料マスタ'!$B$5:$L$104,7,FALSE)&amp;"",""))</f>
        <v/>
      </c>
      <c r="E487" s="13">
        <f>IF(B487="","",IFERROR(VLOOKUP(B487,'材料マスタ'!$B$5:$L$104,11,FALSE),""))</f>
        <v/>
      </c>
      <c r="F487" s="12">
        <f>IF(OR(B487="",C487=""),"",IFERROR(ROUND(C487*E487,2),""))</f>
        <v/>
      </c>
      <c r="G487" s="14">
        <f>IF(B487="","",IFERROR(IF(VLOOKUP(B487,'材料マスタ'!$B$5:$L$104,11,FALSE)="","材料マスタを確認",IF(C487="","使用量を入力","OK")),"未登録の材料"))</f>
        <v/>
      </c>
    </row>
    <row r="488">
      <c r="A488" s="7" t="n">
        <v>7</v>
      </c>
      <c r="B488" s="8" t="n"/>
      <c r="C488" s="11" t="n"/>
      <c r="D488" s="14">
        <f>IF(B488="","",IFERROR(VLOOKUP(B488,'材料マスタ'!$B$5:$L$104,7,FALSE)&amp;"",""))</f>
        <v/>
      </c>
      <c r="E488" s="13">
        <f>IF(B488="","",IFERROR(VLOOKUP(B488,'材料マスタ'!$B$5:$L$104,11,FALSE),""))</f>
        <v/>
      </c>
      <c r="F488" s="12">
        <f>IF(OR(B488="",C488=""),"",IFERROR(ROUND(C488*E488,2),""))</f>
        <v/>
      </c>
      <c r="G488" s="14">
        <f>IF(B488="","",IFERROR(IF(VLOOKUP(B488,'材料マスタ'!$B$5:$L$104,11,FALSE)="","材料マスタを確認",IF(C488="","使用量を入力","OK")),"未登録の材料"))</f>
        <v/>
      </c>
    </row>
    <row r="489">
      <c r="A489" s="7" t="n">
        <v>8</v>
      </c>
      <c r="B489" s="8" t="n"/>
      <c r="C489" s="11" t="n"/>
      <c r="D489" s="14">
        <f>IF(B489="","",IFERROR(VLOOKUP(B489,'材料マスタ'!$B$5:$L$104,7,FALSE)&amp;"",""))</f>
        <v/>
      </c>
      <c r="E489" s="13">
        <f>IF(B489="","",IFERROR(VLOOKUP(B489,'材料マスタ'!$B$5:$L$104,11,FALSE),""))</f>
        <v/>
      </c>
      <c r="F489" s="12">
        <f>IF(OR(B489="",C489=""),"",IFERROR(ROUND(C489*E489,2),""))</f>
        <v/>
      </c>
      <c r="G489" s="14">
        <f>IF(B489="","",IFERROR(IF(VLOOKUP(B489,'材料マスタ'!$B$5:$L$104,11,FALSE)="","材料マスタを確認",IF(C489="","使用量を入力","OK")),"未登録の材料"))</f>
        <v/>
      </c>
    </row>
    <row r="490">
      <c r="A490" s="7" t="n">
        <v>9</v>
      </c>
      <c r="B490" s="8" t="n"/>
      <c r="C490" s="11" t="n"/>
      <c r="D490" s="14">
        <f>IF(B490="","",IFERROR(VLOOKUP(B490,'材料マスタ'!$B$5:$L$104,7,FALSE)&amp;"",""))</f>
        <v/>
      </c>
      <c r="E490" s="13">
        <f>IF(B490="","",IFERROR(VLOOKUP(B490,'材料マスタ'!$B$5:$L$104,11,FALSE),""))</f>
        <v/>
      </c>
      <c r="F490" s="12">
        <f>IF(OR(B490="",C490=""),"",IFERROR(ROUND(C490*E490,2),""))</f>
        <v/>
      </c>
      <c r="G490" s="14">
        <f>IF(B490="","",IFERROR(IF(VLOOKUP(B490,'材料マスタ'!$B$5:$L$104,11,FALSE)="","材料マスタを確認",IF(C490="","使用量を入力","OK")),"未登録の材料"))</f>
        <v/>
      </c>
    </row>
    <row r="491">
      <c r="A491" s="7" t="n">
        <v>10</v>
      </c>
      <c r="B491" s="8" t="n"/>
      <c r="C491" s="11" t="n"/>
      <c r="D491" s="14">
        <f>IF(B491="","",IFERROR(VLOOKUP(B491,'材料マスタ'!$B$5:$L$104,7,FALSE)&amp;"",""))</f>
        <v/>
      </c>
      <c r="E491" s="13">
        <f>IF(B491="","",IFERROR(VLOOKUP(B491,'材料マスタ'!$B$5:$L$104,11,FALSE),""))</f>
        <v/>
      </c>
      <c r="F491" s="12">
        <f>IF(OR(B491="",C491=""),"",IFERROR(ROUND(C491*E491,2),""))</f>
        <v/>
      </c>
      <c r="G491" s="14">
        <f>IF(B491="","",IFERROR(IF(VLOOKUP(B491,'材料マスタ'!$B$5:$L$104,11,FALSE)="","材料マスタを確認",IF(C491="","使用量を入力","OK")),"未登録の材料"))</f>
        <v/>
      </c>
    </row>
    <row r="492">
      <c r="A492" s="7" t="n">
        <v>11</v>
      </c>
      <c r="B492" s="8" t="n"/>
      <c r="C492" s="11" t="n"/>
      <c r="D492" s="14">
        <f>IF(B492="","",IFERROR(VLOOKUP(B492,'材料マスタ'!$B$5:$L$104,7,FALSE)&amp;"",""))</f>
        <v/>
      </c>
      <c r="E492" s="13">
        <f>IF(B492="","",IFERROR(VLOOKUP(B492,'材料マスタ'!$B$5:$L$104,11,FALSE),""))</f>
        <v/>
      </c>
      <c r="F492" s="12">
        <f>IF(OR(B492="",C492=""),"",IFERROR(ROUND(C492*E492,2),""))</f>
        <v/>
      </c>
      <c r="G492" s="14">
        <f>IF(B492="","",IFERROR(IF(VLOOKUP(B492,'材料マスタ'!$B$5:$L$104,11,FALSE)="","材料マスタを確認",IF(C492="","使用量を入力","OK")),"未登録の材料"))</f>
        <v/>
      </c>
    </row>
    <row r="493">
      <c r="A493" s="7" t="n">
        <v>12</v>
      </c>
      <c r="B493" s="8" t="n"/>
      <c r="C493" s="11" t="n"/>
      <c r="D493" s="14">
        <f>IF(B493="","",IFERROR(VLOOKUP(B493,'材料マスタ'!$B$5:$L$104,7,FALSE)&amp;"",""))</f>
        <v/>
      </c>
      <c r="E493" s="13">
        <f>IF(B493="","",IFERROR(VLOOKUP(B493,'材料マスタ'!$B$5:$L$104,11,FALSE),""))</f>
        <v/>
      </c>
      <c r="F493" s="12">
        <f>IF(OR(B493="",C493=""),"",IFERROR(ROUND(C493*E493,2),""))</f>
        <v/>
      </c>
      <c r="G493" s="14">
        <f>IF(B493="","",IFERROR(IF(VLOOKUP(B493,'材料マスタ'!$B$5:$L$104,11,FALSE)="","材料マスタを確認",IF(C493="","使用量を入力","OK")),"未登録の材料"))</f>
        <v/>
      </c>
    </row>
    <row r="494">
      <c r="A494" s="7" t="n">
        <v>13</v>
      </c>
      <c r="B494" s="8" t="n"/>
      <c r="C494" s="11" t="n"/>
      <c r="D494" s="14">
        <f>IF(B494="","",IFERROR(VLOOKUP(B494,'材料マスタ'!$B$5:$L$104,7,FALSE)&amp;"",""))</f>
        <v/>
      </c>
      <c r="E494" s="13">
        <f>IF(B494="","",IFERROR(VLOOKUP(B494,'材料マスタ'!$B$5:$L$104,11,FALSE),""))</f>
        <v/>
      </c>
      <c r="F494" s="12">
        <f>IF(OR(B494="",C494=""),"",IFERROR(ROUND(C494*E494,2),""))</f>
        <v/>
      </c>
      <c r="G494" s="14">
        <f>IF(B494="","",IFERROR(IF(VLOOKUP(B494,'材料マスタ'!$B$5:$L$104,11,FALSE)="","材料マスタを確認",IF(C494="","使用量を入力","OK")),"未登録の材料"))</f>
        <v/>
      </c>
    </row>
    <row r="495">
      <c r="A495" s="7" t="n">
        <v>14</v>
      </c>
      <c r="B495" s="8" t="n"/>
      <c r="C495" s="11" t="n"/>
      <c r="D495" s="14">
        <f>IF(B495="","",IFERROR(VLOOKUP(B495,'材料マスタ'!$B$5:$L$104,7,FALSE)&amp;"",""))</f>
        <v/>
      </c>
      <c r="E495" s="13">
        <f>IF(B495="","",IFERROR(VLOOKUP(B495,'材料マスタ'!$B$5:$L$104,11,FALSE),""))</f>
        <v/>
      </c>
      <c r="F495" s="12">
        <f>IF(OR(B495="",C495=""),"",IFERROR(ROUND(C495*E495,2),""))</f>
        <v/>
      </c>
      <c r="G495" s="14">
        <f>IF(B495="","",IFERROR(IF(VLOOKUP(B495,'材料マスタ'!$B$5:$L$104,11,FALSE)="","材料マスタを確認",IF(C495="","使用量を入力","OK")),"未登録の材料"))</f>
        <v/>
      </c>
    </row>
    <row r="496">
      <c r="A496" s="7" t="n">
        <v>15</v>
      </c>
      <c r="B496" s="8" t="n"/>
      <c r="C496" s="11" t="n"/>
      <c r="D496" s="14">
        <f>IF(B496="","",IFERROR(VLOOKUP(B496,'材料マスタ'!$B$5:$L$104,7,FALSE)&amp;"",""))</f>
        <v/>
      </c>
      <c r="E496" s="13">
        <f>IF(B496="","",IFERROR(VLOOKUP(B496,'材料マスタ'!$B$5:$L$104,11,FALSE),""))</f>
        <v/>
      </c>
      <c r="F496" s="12">
        <f>IF(OR(B496="",C496=""),"",IFERROR(ROUND(C496*E496,2),""))</f>
        <v/>
      </c>
      <c r="G496" s="14">
        <f>IF(B496="","",IFERROR(IF(VLOOKUP(B496,'材料マスタ'!$B$5:$L$104,11,FALSE)="","材料マスタを確認",IF(C496="","使用量を入力","OK")),"未登録の材料"))</f>
        <v/>
      </c>
    </row>
    <row r="497">
      <c r="B497" s="21" t="inlineStr">
        <is>
          <t>合計原価（税抜・円）</t>
        </is>
      </c>
      <c r="C497" s="22">
        <f>SUM(F482:F496)</f>
        <v/>
      </c>
    </row>
    <row r="498">
      <c r="B498" s="23" t="inlineStr">
        <is>
          <t>目標原価率（適用値）</t>
        </is>
      </c>
      <c r="C498" s="24">
        <f>IF(E480="",'設定'!$C$4,IF(E480&gt;1,E480/100,E480))</f>
        <v/>
      </c>
    </row>
    <row r="499">
      <c r="B499" s="23" t="inlineStr">
        <is>
          <t>売価の税率（適用値）</t>
        </is>
      </c>
      <c r="C499" s="25">
        <f>IF(G480="",'設定'!$C$5,IF(G480&gt;=1,G480/100,G480))</f>
        <v/>
      </c>
    </row>
    <row r="500">
      <c r="B500" s="23" t="inlineStr">
        <is>
          <t>税抜売価（円）</t>
        </is>
      </c>
      <c r="C500" s="22">
        <f>IF(C480="","",IFERROR(ROUND(C480/(1+C499),2),""))</f>
        <v/>
      </c>
    </row>
    <row r="501">
      <c r="B501" s="21" t="inlineStr">
        <is>
          <t>原価率</t>
        </is>
      </c>
      <c r="C501" s="26">
        <f>IFERROR(IF(OR(C500="",C500=0),"",ROUND(C497/C500,4)),"")</f>
        <v/>
      </c>
      <c r="D501" s="7" t="inlineStr">
        <is>
          <t>判定［自動］</t>
        </is>
      </c>
      <c r="E501" s="27">
        <f>IF(C501="",IF(C479="","","売価を入力"),IF(C501&gt;C498,"超過","目標内"))</f>
        <v/>
      </c>
    </row>
    <row r="502">
      <c r="B502" s="23" t="inlineStr">
        <is>
          <t>目標との差（＋は目標超過）</t>
        </is>
      </c>
      <c r="C502" s="28">
        <f>IF(C501="","",ROUND(C501-C498,4))</f>
        <v/>
      </c>
    </row>
    <row r="503" ht="30" customHeight="1">
      <c r="B503" s="21" t="inlineStr">
        <is>
          <t>推奨売価（税込・円／目標原価率から逆算、10円単位で切り上げ）</t>
        </is>
      </c>
      <c r="C503" s="29">
        <f>IFERROR(IF(OR(C497=0,C498=0),"",ROUNDUP(ROUND(C497/C498*(1+C499),2)/10,0)*10),"")</f>
        <v/>
      </c>
    </row>
    <row r="504">
      <c r="A504" s="15" t="inlineStr">
        <is>
          <t>メニュー21</t>
        </is>
      </c>
      <c r="B504" s="16" t="inlineStr">
        <is>
          <t>【入力】メニュー名</t>
        </is>
      </c>
      <c r="C504" s="8" t="n"/>
      <c r="D504" s="17" t="n"/>
      <c r="E504" s="17" t="n"/>
      <c r="F504" s="17" t="n"/>
      <c r="G504" s="18" t="n"/>
    </row>
    <row r="505">
      <c r="B505" s="7" t="inlineStr">
        <is>
          <t>【入力】販売価格（税込・円）</t>
        </is>
      </c>
      <c r="C505" s="9" t="n"/>
      <c r="D505" s="19" t="inlineStr">
        <is>
          <t>【入力】目標原価率（空欄=設定値）</t>
        </is>
      </c>
      <c r="E505" s="10" t="n"/>
      <c r="F505" s="19" t="inlineStr">
        <is>
          <t>【入力】売価の税率（空欄=設定値）</t>
        </is>
      </c>
      <c r="G505" s="10" t="n"/>
    </row>
    <row r="506" ht="32" customHeight="1">
      <c r="A506" s="20" t="inlineStr">
        <is>
          <t>No</t>
        </is>
      </c>
      <c r="B506" s="20" t="inlineStr">
        <is>
          <t>【入力】材料名（リストから選ぶ）</t>
        </is>
      </c>
      <c r="C506" s="20" t="inlineStr">
        <is>
          <t>【入力】使用量</t>
        </is>
      </c>
      <c r="D506" s="20" t="inlineStr">
        <is>
          <t>単位［自動］</t>
        </is>
      </c>
      <c r="E506" s="20" t="inlineStr">
        <is>
          <t>単価（税抜・円/単位）［自動］</t>
        </is>
      </c>
      <c r="F506" s="20" t="inlineStr">
        <is>
          <t>原価（円）［自動］</t>
        </is>
      </c>
      <c r="G506" s="20" t="inlineStr">
        <is>
          <t>チェック［自動］</t>
        </is>
      </c>
    </row>
    <row r="507">
      <c r="A507" s="7" t="n">
        <v>1</v>
      </c>
      <c r="B507" s="8" t="n"/>
      <c r="C507" s="11" t="n"/>
      <c r="D507" s="14">
        <f>IF(B507="","",IFERROR(VLOOKUP(B507,'材料マスタ'!$B$5:$L$104,7,FALSE)&amp;"",""))</f>
        <v/>
      </c>
      <c r="E507" s="13">
        <f>IF(B507="","",IFERROR(VLOOKUP(B507,'材料マスタ'!$B$5:$L$104,11,FALSE),""))</f>
        <v/>
      </c>
      <c r="F507" s="12">
        <f>IF(OR(B507="",C507=""),"",IFERROR(ROUND(C507*E507,2),""))</f>
        <v/>
      </c>
      <c r="G507" s="14">
        <f>IF(B507="","",IFERROR(IF(VLOOKUP(B507,'材料マスタ'!$B$5:$L$104,11,FALSE)="","材料マスタを確認",IF(C507="","使用量を入力","OK")),"未登録の材料"))</f>
        <v/>
      </c>
    </row>
    <row r="508">
      <c r="A508" s="7" t="n">
        <v>2</v>
      </c>
      <c r="B508" s="8" t="n"/>
      <c r="C508" s="11" t="n"/>
      <c r="D508" s="14">
        <f>IF(B508="","",IFERROR(VLOOKUP(B508,'材料マスタ'!$B$5:$L$104,7,FALSE)&amp;"",""))</f>
        <v/>
      </c>
      <c r="E508" s="13">
        <f>IF(B508="","",IFERROR(VLOOKUP(B508,'材料マスタ'!$B$5:$L$104,11,FALSE),""))</f>
        <v/>
      </c>
      <c r="F508" s="12">
        <f>IF(OR(B508="",C508=""),"",IFERROR(ROUND(C508*E508,2),""))</f>
        <v/>
      </c>
      <c r="G508" s="14">
        <f>IF(B508="","",IFERROR(IF(VLOOKUP(B508,'材料マスタ'!$B$5:$L$104,11,FALSE)="","材料マスタを確認",IF(C508="","使用量を入力","OK")),"未登録の材料"))</f>
        <v/>
      </c>
    </row>
    <row r="509">
      <c r="A509" s="7" t="n">
        <v>3</v>
      </c>
      <c r="B509" s="8" t="n"/>
      <c r="C509" s="11" t="n"/>
      <c r="D509" s="14">
        <f>IF(B509="","",IFERROR(VLOOKUP(B509,'材料マスタ'!$B$5:$L$104,7,FALSE)&amp;"",""))</f>
        <v/>
      </c>
      <c r="E509" s="13">
        <f>IF(B509="","",IFERROR(VLOOKUP(B509,'材料マスタ'!$B$5:$L$104,11,FALSE),""))</f>
        <v/>
      </c>
      <c r="F509" s="12">
        <f>IF(OR(B509="",C509=""),"",IFERROR(ROUND(C509*E509,2),""))</f>
        <v/>
      </c>
      <c r="G509" s="14">
        <f>IF(B509="","",IFERROR(IF(VLOOKUP(B509,'材料マスタ'!$B$5:$L$104,11,FALSE)="","材料マスタを確認",IF(C509="","使用量を入力","OK")),"未登録の材料"))</f>
        <v/>
      </c>
    </row>
    <row r="510">
      <c r="A510" s="7" t="n">
        <v>4</v>
      </c>
      <c r="B510" s="8" t="n"/>
      <c r="C510" s="11" t="n"/>
      <c r="D510" s="14">
        <f>IF(B510="","",IFERROR(VLOOKUP(B510,'材料マスタ'!$B$5:$L$104,7,FALSE)&amp;"",""))</f>
        <v/>
      </c>
      <c r="E510" s="13">
        <f>IF(B510="","",IFERROR(VLOOKUP(B510,'材料マスタ'!$B$5:$L$104,11,FALSE),""))</f>
        <v/>
      </c>
      <c r="F510" s="12">
        <f>IF(OR(B510="",C510=""),"",IFERROR(ROUND(C510*E510,2),""))</f>
        <v/>
      </c>
      <c r="G510" s="14">
        <f>IF(B510="","",IFERROR(IF(VLOOKUP(B510,'材料マスタ'!$B$5:$L$104,11,FALSE)="","材料マスタを確認",IF(C510="","使用量を入力","OK")),"未登録の材料"))</f>
        <v/>
      </c>
    </row>
    <row r="511">
      <c r="A511" s="7" t="n">
        <v>5</v>
      </c>
      <c r="B511" s="8" t="n"/>
      <c r="C511" s="11" t="n"/>
      <c r="D511" s="14">
        <f>IF(B511="","",IFERROR(VLOOKUP(B511,'材料マスタ'!$B$5:$L$104,7,FALSE)&amp;"",""))</f>
        <v/>
      </c>
      <c r="E511" s="13">
        <f>IF(B511="","",IFERROR(VLOOKUP(B511,'材料マスタ'!$B$5:$L$104,11,FALSE),""))</f>
        <v/>
      </c>
      <c r="F511" s="12">
        <f>IF(OR(B511="",C511=""),"",IFERROR(ROUND(C511*E511,2),""))</f>
        <v/>
      </c>
      <c r="G511" s="14">
        <f>IF(B511="","",IFERROR(IF(VLOOKUP(B511,'材料マスタ'!$B$5:$L$104,11,FALSE)="","材料マスタを確認",IF(C511="","使用量を入力","OK")),"未登録の材料"))</f>
        <v/>
      </c>
    </row>
    <row r="512">
      <c r="A512" s="7" t="n">
        <v>6</v>
      </c>
      <c r="B512" s="8" t="n"/>
      <c r="C512" s="11" t="n"/>
      <c r="D512" s="14">
        <f>IF(B512="","",IFERROR(VLOOKUP(B512,'材料マスタ'!$B$5:$L$104,7,FALSE)&amp;"",""))</f>
        <v/>
      </c>
      <c r="E512" s="13">
        <f>IF(B512="","",IFERROR(VLOOKUP(B512,'材料マスタ'!$B$5:$L$104,11,FALSE),""))</f>
        <v/>
      </c>
      <c r="F512" s="12">
        <f>IF(OR(B512="",C512=""),"",IFERROR(ROUND(C512*E512,2),""))</f>
        <v/>
      </c>
      <c r="G512" s="14">
        <f>IF(B512="","",IFERROR(IF(VLOOKUP(B512,'材料マスタ'!$B$5:$L$104,11,FALSE)="","材料マスタを確認",IF(C512="","使用量を入力","OK")),"未登録の材料"))</f>
        <v/>
      </c>
    </row>
    <row r="513">
      <c r="A513" s="7" t="n">
        <v>7</v>
      </c>
      <c r="B513" s="8" t="n"/>
      <c r="C513" s="11" t="n"/>
      <c r="D513" s="14">
        <f>IF(B513="","",IFERROR(VLOOKUP(B513,'材料マスタ'!$B$5:$L$104,7,FALSE)&amp;"",""))</f>
        <v/>
      </c>
      <c r="E513" s="13">
        <f>IF(B513="","",IFERROR(VLOOKUP(B513,'材料マスタ'!$B$5:$L$104,11,FALSE),""))</f>
        <v/>
      </c>
      <c r="F513" s="12">
        <f>IF(OR(B513="",C513=""),"",IFERROR(ROUND(C513*E513,2),""))</f>
        <v/>
      </c>
      <c r="G513" s="14">
        <f>IF(B513="","",IFERROR(IF(VLOOKUP(B513,'材料マスタ'!$B$5:$L$104,11,FALSE)="","材料マスタを確認",IF(C513="","使用量を入力","OK")),"未登録の材料"))</f>
        <v/>
      </c>
    </row>
    <row r="514">
      <c r="A514" s="7" t="n">
        <v>8</v>
      </c>
      <c r="B514" s="8" t="n"/>
      <c r="C514" s="11" t="n"/>
      <c r="D514" s="14">
        <f>IF(B514="","",IFERROR(VLOOKUP(B514,'材料マスタ'!$B$5:$L$104,7,FALSE)&amp;"",""))</f>
        <v/>
      </c>
      <c r="E514" s="13">
        <f>IF(B514="","",IFERROR(VLOOKUP(B514,'材料マスタ'!$B$5:$L$104,11,FALSE),""))</f>
        <v/>
      </c>
      <c r="F514" s="12">
        <f>IF(OR(B514="",C514=""),"",IFERROR(ROUND(C514*E514,2),""))</f>
        <v/>
      </c>
      <c r="G514" s="14">
        <f>IF(B514="","",IFERROR(IF(VLOOKUP(B514,'材料マスタ'!$B$5:$L$104,11,FALSE)="","材料マスタを確認",IF(C514="","使用量を入力","OK")),"未登録の材料"))</f>
        <v/>
      </c>
    </row>
    <row r="515">
      <c r="A515" s="7" t="n">
        <v>9</v>
      </c>
      <c r="B515" s="8" t="n"/>
      <c r="C515" s="11" t="n"/>
      <c r="D515" s="14">
        <f>IF(B515="","",IFERROR(VLOOKUP(B515,'材料マスタ'!$B$5:$L$104,7,FALSE)&amp;"",""))</f>
        <v/>
      </c>
      <c r="E515" s="13">
        <f>IF(B515="","",IFERROR(VLOOKUP(B515,'材料マスタ'!$B$5:$L$104,11,FALSE),""))</f>
        <v/>
      </c>
      <c r="F515" s="12">
        <f>IF(OR(B515="",C515=""),"",IFERROR(ROUND(C515*E515,2),""))</f>
        <v/>
      </c>
      <c r="G515" s="14">
        <f>IF(B515="","",IFERROR(IF(VLOOKUP(B515,'材料マスタ'!$B$5:$L$104,11,FALSE)="","材料マスタを確認",IF(C515="","使用量を入力","OK")),"未登録の材料"))</f>
        <v/>
      </c>
    </row>
    <row r="516">
      <c r="A516" s="7" t="n">
        <v>10</v>
      </c>
      <c r="B516" s="8" t="n"/>
      <c r="C516" s="11" t="n"/>
      <c r="D516" s="14">
        <f>IF(B516="","",IFERROR(VLOOKUP(B516,'材料マスタ'!$B$5:$L$104,7,FALSE)&amp;"",""))</f>
        <v/>
      </c>
      <c r="E516" s="13">
        <f>IF(B516="","",IFERROR(VLOOKUP(B516,'材料マスタ'!$B$5:$L$104,11,FALSE),""))</f>
        <v/>
      </c>
      <c r="F516" s="12">
        <f>IF(OR(B516="",C516=""),"",IFERROR(ROUND(C516*E516,2),""))</f>
        <v/>
      </c>
      <c r="G516" s="14">
        <f>IF(B516="","",IFERROR(IF(VLOOKUP(B516,'材料マスタ'!$B$5:$L$104,11,FALSE)="","材料マスタを確認",IF(C516="","使用量を入力","OK")),"未登録の材料"))</f>
        <v/>
      </c>
    </row>
    <row r="517">
      <c r="A517" s="7" t="n">
        <v>11</v>
      </c>
      <c r="B517" s="8" t="n"/>
      <c r="C517" s="11" t="n"/>
      <c r="D517" s="14">
        <f>IF(B517="","",IFERROR(VLOOKUP(B517,'材料マスタ'!$B$5:$L$104,7,FALSE)&amp;"",""))</f>
        <v/>
      </c>
      <c r="E517" s="13">
        <f>IF(B517="","",IFERROR(VLOOKUP(B517,'材料マスタ'!$B$5:$L$104,11,FALSE),""))</f>
        <v/>
      </c>
      <c r="F517" s="12">
        <f>IF(OR(B517="",C517=""),"",IFERROR(ROUND(C517*E517,2),""))</f>
        <v/>
      </c>
      <c r="G517" s="14">
        <f>IF(B517="","",IFERROR(IF(VLOOKUP(B517,'材料マスタ'!$B$5:$L$104,11,FALSE)="","材料マスタを確認",IF(C517="","使用量を入力","OK")),"未登録の材料"))</f>
        <v/>
      </c>
    </row>
    <row r="518">
      <c r="A518" s="7" t="n">
        <v>12</v>
      </c>
      <c r="B518" s="8" t="n"/>
      <c r="C518" s="11" t="n"/>
      <c r="D518" s="14">
        <f>IF(B518="","",IFERROR(VLOOKUP(B518,'材料マスタ'!$B$5:$L$104,7,FALSE)&amp;"",""))</f>
        <v/>
      </c>
      <c r="E518" s="13">
        <f>IF(B518="","",IFERROR(VLOOKUP(B518,'材料マスタ'!$B$5:$L$104,11,FALSE),""))</f>
        <v/>
      </c>
      <c r="F518" s="12">
        <f>IF(OR(B518="",C518=""),"",IFERROR(ROUND(C518*E518,2),""))</f>
        <v/>
      </c>
      <c r="G518" s="14">
        <f>IF(B518="","",IFERROR(IF(VLOOKUP(B518,'材料マスタ'!$B$5:$L$104,11,FALSE)="","材料マスタを確認",IF(C518="","使用量を入力","OK")),"未登録の材料"))</f>
        <v/>
      </c>
    </row>
    <row r="519">
      <c r="A519" s="7" t="n">
        <v>13</v>
      </c>
      <c r="B519" s="8" t="n"/>
      <c r="C519" s="11" t="n"/>
      <c r="D519" s="14">
        <f>IF(B519="","",IFERROR(VLOOKUP(B519,'材料マスタ'!$B$5:$L$104,7,FALSE)&amp;"",""))</f>
        <v/>
      </c>
      <c r="E519" s="13">
        <f>IF(B519="","",IFERROR(VLOOKUP(B519,'材料マスタ'!$B$5:$L$104,11,FALSE),""))</f>
        <v/>
      </c>
      <c r="F519" s="12">
        <f>IF(OR(B519="",C519=""),"",IFERROR(ROUND(C519*E519,2),""))</f>
        <v/>
      </c>
      <c r="G519" s="14">
        <f>IF(B519="","",IFERROR(IF(VLOOKUP(B519,'材料マスタ'!$B$5:$L$104,11,FALSE)="","材料マスタを確認",IF(C519="","使用量を入力","OK")),"未登録の材料"))</f>
        <v/>
      </c>
    </row>
    <row r="520">
      <c r="A520" s="7" t="n">
        <v>14</v>
      </c>
      <c r="B520" s="8" t="n"/>
      <c r="C520" s="11" t="n"/>
      <c r="D520" s="14">
        <f>IF(B520="","",IFERROR(VLOOKUP(B520,'材料マスタ'!$B$5:$L$104,7,FALSE)&amp;"",""))</f>
        <v/>
      </c>
      <c r="E520" s="13">
        <f>IF(B520="","",IFERROR(VLOOKUP(B520,'材料マスタ'!$B$5:$L$104,11,FALSE),""))</f>
        <v/>
      </c>
      <c r="F520" s="12">
        <f>IF(OR(B520="",C520=""),"",IFERROR(ROUND(C520*E520,2),""))</f>
        <v/>
      </c>
      <c r="G520" s="14">
        <f>IF(B520="","",IFERROR(IF(VLOOKUP(B520,'材料マスタ'!$B$5:$L$104,11,FALSE)="","材料マスタを確認",IF(C520="","使用量を入力","OK")),"未登録の材料"))</f>
        <v/>
      </c>
    </row>
    <row r="521">
      <c r="A521" s="7" t="n">
        <v>15</v>
      </c>
      <c r="B521" s="8" t="n"/>
      <c r="C521" s="11" t="n"/>
      <c r="D521" s="14">
        <f>IF(B521="","",IFERROR(VLOOKUP(B521,'材料マスタ'!$B$5:$L$104,7,FALSE)&amp;"",""))</f>
        <v/>
      </c>
      <c r="E521" s="13">
        <f>IF(B521="","",IFERROR(VLOOKUP(B521,'材料マスタ'!$B$5:$L$104,11,FALSE),""))</f>
        <v/>
      </c>
      <c r="F521" s="12">
        <f>IF(OR(B521="",C521=""),"",IFERROR(ROUND(C521*E521,2),""))</f>
        <v/>
      </c>
      <c r="G521" s="14">
        <f>IF(B521="","",IFERROR(IF(VLOOKUP(B521,'材料マスタ'!$B$5:$L$104,11,FALSE)="","材料マスタを確認",IF(C521="","使用量を入力","OK")),"未登録の材料"))</f>
        <v/>
      </c>
    </row>
    <row r="522">
      <c r="B522" s="21" t="inlineStr">
        <is>
          <t>合計原価（税抜・円）</t>
        </is>
      </c>
      <c r="C522" s="22">
        <f>SUM(F507:F521)</f>
        <v/>
      </c>
    </row>
    <row r="523">
      <c r="B523" s="23" t="inlineStr">
        <is>
          <t>目標原価率（適用値）</t>
        </is>
      </c>
      <c r="C523" s="24">
        <f>IF(E505="",'設定'!$C$4,IF(E505&gt;1,E505/100,E505))</f>
        <v/>
      </c>
    </row>
    <row r="524">
      <c r="B524" s="23" t="inlineStr">
        <is>
          <t>売価の税率（適用値）</t>
        </is>
      </c>
      <c r="C524" s="25">
        <f>IF(G505="",'設定'!$C$5,IF(G505&gt;=1,G505/100,G505))</f>
        <v/>
      </c>
    </row>
    <row r="525">
      <c r="B525" s="23" t="inlineStr">
        <is>
          <t>税抜売価（円）</t>
        </is>
      </c>
      <c r="C525" s="22">
        <f>IF(C505="","",IFERROR(ROUND(C505/(1+C524),2),""))</f>
        <v/>
      </c>
    </row>
    <row r="526">
      <c r="B526" s="21" t="inlineStr">
        <is>
          <t>原価率</t>
        </is>
      </c>
      <c r="C526" s="26">
        <f>IFERROR(IF(OR(C525="",C525=0),"",ROUND(C522/C525,4)),"")</f>
        <v/>
      </c>
      <c r="D526" s="7" t="inlineStr">
        <is>
          <t>判定［自動］</t>
        </is>
      </c>
      <c r="E526" s="27">
        <f>IF(C526="",IF(C504="","","売価を入力"),IF(C526&gt;C523,"超過","目標内"))</f>
        <v/>
      </c>
    </row>
    <row r="527">
      <c r="B527" s="23" t="inlineStr">
        <is>
          <t>目標との差（＋は目標超過）</t>
        </is>
      </c>
      <c r="C527" s="28">
        <f>IF(C526="","",ROUND(C526-C523,4))</f>
        <v/>
      </c>
    </row>
    <row r="528" ht="30" customHeight="1">
      <c r="B528" s="21" t="inlineStr">
        <is>
          <t>推奨売価（税込・円／目標原価率から逆算、10円単位で切り上げ）</t>
        </is>
      </c>
      <c r="C528" s="29">
        <f>IFERROR(IF(OR(C522=0,C523=0),"",ROUNDUP(ROUND(C522/C523*(1+C524),2)/10,0)*10),"")</f>
        <v/>
      </c>
    </row>
    <row r="529">
      <c r="A529" s="15" t="inlineStr">
        <is>
          <t>メニュー22</t>
        </is>
      </c>
      <c r="B529" s="16" t="inlineStr">
        <is>
          <t>【入力】メニュー名</t>
        </is>
      </c>
      <c r="C529" s="8" t="n"/>
      <c r="D529" s="17" t="n"/>
      <c r="E529" s="17" t="n"/>
      <c r="F529" s="17" t="n"/>
      <c r="G529" s="18" t="n"/>
    </row>
    <row r="530">
      <c r="B530" s="7" t="inlineStr">
        <is>
          <t>【入力】販売価格（税込・円）</t>
        </is>
      </c>
      <c r="C530" s="9" t="n"/>
      <c r="D530" s="19" t="inlineStr">
        <is>
          <t>【入力】目標原価率（空欄=設定値）</t>
        </is>
      </c>
      <c r="E530" s="10" t="n"/>
      <c r="F530" s="19" t="inlineStr">
        <is>
          <t>【入力】売価の税率（空欄=設定値）</t>
        </is>
      </c>
      <c r="G530" s="10" t="n"/>
    </row>
    <row r="531" ht="32" customHeight="1">
      <c r="A531" s="20" t="inlineStr">
        <is>
          <t>No</t>
        </is>
      </c>
      <c r="B531" s="20" t="inlineStr">
        <is>
          <t>【入力】材料名（リストから選ぶ）</t>
        </is>
      </c>
      <c r="C531" s="20" t="inlineStr">
        <is>
          <t>【入力】使用量</t>
        </is>
      </c>
      <c r="D531" s="20" t="inlineStr">
        <is>
          <t>単位［自動］</t>
        </is>
      </c>
      <c r="E531" s="20" t="inlineStr">
        <is>
          <t>単価（税抜・円/単位）［自動］</t>
        </is>
      </c>
      <c r="F531" s="20" t="inlineStr">
        <is>
          <t>原価（円）［自動］</t>
        </is>
      </c>
      <c r="G531" s="20" t="inlineStr">
        <is>
          <t>チェック［自動］</t>
        </is>
      </c>
    </row>
    <row r="532">
      <c r="A532" s="7" t="n">
        <v>1</v>
      </c>
      <c r="B532" s="8" t="n"/>
      <c r="C532" s="11" t="n"/>
      <c r="D532" s="14">
        <f>IF(B532="","",IFERROR(VLOOKUP(B532,'材料マスタ'!$B$5:$L$104,7,FALSE)&amp;"",""))</f>
        <v/>
      </c>
      <c r="E532" s="13">
        <f>IF(B532="","",IFERROR(VLOOKUP(B532,'材料マスタ'!$B$5:$L$104,11,FALSE),""))</f>
        <v/>
      </c>
      <c r="F532" s="12">
        <f>IF(OR(B532="",C532=""),"",IFERROR(ROUND(C532*E532,2),""))</f>
        <v/>
      </c>
      <c r="G532" s="14">
        <f>IF(B532="","",IFERROR(IF(VLOOKUP(B532,'材料マスタ'!$B$5:$L$104,11,FALSE)="","材料マスタを確認",IF(C532="","使用量を入力","OK")),"未登録の材料"))</f>
        <v/>
      </c>
    </row>
    <row r="533">
      <c r="A533" s="7" t="n">
        <v>2</v>
      </c>
      <c r="B533" s="8" t="n"/>
      <c r="C533" s="11" t="n"/>
      <c r="D533" s="14">
        <f>IF(B533="","",IFERROR(VLOOKUP(B533,'材料マスタ'!$B$5:$L$104,7,FALSE)&amp;"",""))</f>
        <v/>
      </c>
      <c r="E533" s="13">
        <f>IF(B533="","",IFERROR(VLOOKUP(B533,'材料マスタ'!$B$5:$L$104,11,FALSE),""))</f>
        <v/>
      </c>
      <c r="F533" s="12">
        <f>IF(OR(B533="",C533=""),"",IFERROR(ROUND(C533*E533,2),""))</f>
        <v/>
      </c>
      <c r="G533" s="14">
        <f>IF(B533="","",IFERROR(IF(VLOOKUP(B533,'材料マスタ'!$B$5:$L$104,11,FALSE)="","材料マスタを確認",IF(C533="","使用量を入力","OK")),"未登録の材料"))</f>
        <v/>
      </c>
    </row>
    <row r="534">
      <c r="A534" s="7" t="n">
        <v>3</v>
      </c>
      <c r="B534" s="8" t="n"/>
      <c r="C534" s="11" t="n"/>
      <c r="D534" s="14">
        <f>IF(B534="","",IFERROR(VLOOKUP(B534,'材料マスタ'!$B$5:$L$104,7,FALSE)&amp;"",""))</f>
        <v/>
      </c>
      <c r="E534" s="13">
        <f>IF(B534="","",IFERROR(VLOOKUP(B534,'材料マスタ'!$B$5:$L$104,11,FALSE),""))</f>
        <v/>
      </c>
      <c r="F534" s="12">
        <f>IF(OR(B534="",C534=""),"",IFERROR(ROUND(C534*E534,2),""))</f>
        <v/>
      </c>
      <c r="G534" s="14">
        <f>IF(B534="","",IFERROR(IF(VLOOKUP(B534,'材料マスタ'!$B$5:$L$104,11,FALSE)="","材料マスタを確認",IF(C534="","使用量を入力","OK")),"未登録の材料"))</f>
        <v/>
      </c>
    </row>
    <row r="535">
      <c r="A535" s="7" t="n">
        <v>4</v>
      </c>
      <c r="B535" s="8" t="n"/>
      <c r="C535" s="11" t="n"/>
      <c r="D535" s="14">
        <f>IF(B535="","",IFERROR(VLOOKUP(B535,'材料マスタ'!$B$5:$L$104,7,FALSE)&amp;"",""))</f>
        <v/>
      </c>
      <c r="E535" s="13">
        <f>IF(B535="","",IFERROR(VLOOKUP(B535,'材料マスタ'!$B$5:$L$104,11,FALSE),""))</f>
        <v/>
      </c>
      <c r="F535" s="12">
        <f>IF(OR(B535="",C535=""),"",IFERROR(ROUND(C535*E535,2),""))</f>
        <v/>
      </c>
      <c r="G535" s="14">
        <f>IF(B535="","",IFERROR(IF(VLOOKUP(B535,'材料マスタ'!$B$5:$L$104,11,FALSE)="","材料マスタを確認",IF(C535="","使用量を入力","OK")),"未登録の材料"))</f>
        <v/>
      </c>
    </row>
    <row r="536">
      <c r="A536" s="7" t="n">
        <v>5</v>
      </c>
      <c r="B536" s="8" t="n"/>
      <c r="C536" s="11" t="n"/>
      <c r="D536" s="14">
        <f>IF(B536="","",IFERROR(VLOOKUP(B536,'材料マスタ'!$B$5:$L$104,7,FALSE)&amp;"",""))</f>
        <v/>
      </c>
      <c r="E536" s="13">
        <f>IF(B536="","",IFERROR(VLOOKUP(B536,'材料マスタ'!$B$5:$L$104,11,FALSE),""))</f>
        <v/>
      </c>
      <c r="F536" s="12">
        <f>IF(OR(B536="",C536=""),"",IFERROR(ROUND(C536*E536,2),""))</f>
        <v/>
      </c>
      <c r="G536" s="14">
        <f>IF(B536="","",IFERROR(IF(VLOOKUP(B536,'材料マスタ'!$B$5:$L$104,11,FALSE)="","材料マスタを確認",IF(C536="","使用量を入力","OK")),"未登録の材料"))</f>
        <v/>
      </c>
    </row>
    <row r="537">
      <c r="A537" s="7" t="n">
        <v>6</v>
      </c>
      <c r="B537" s="8" t="n"/>
      <c r="C537" s="11" t="n"/>
      <c r="D537" s="14">
        <f>IF(B537="","",IFERROR(VLOOKUP(B537,'材料マスタ'!$B$5:$L$104,7,FALSE)&amp;"",""))</f>
        <v/>
      </c>
      <c r="E537" s="13">
        <f>IF(B537="","",IFERROR(VLOOKUP(B537,'材料マスタ'!$B$5:$L$104,11,FALSE),""))</f>
        <v/>
      </c>
      <c r="F537" s="12">
        <f>IF(OR(B537="",C537=""),"",IFERROR(ROUND(C537*E537,2),""))</f>
        <v/>
      </c>
      <c r="G537" s="14">
        <f>IF(B537="","",IFERROR(IF(VLOOKUP(B537,'材料マスタ'!$B$5:$L$104,11,FALSE)="","材料マスタを確認",IF(C537="","使用量を入力","OK")),"未登録の材料"))</f>
        <v/>
      </c>
    </row>
    <row r="538">
      <c r="A538" s="7" t="n">
        <v>7</v>
      </c>
      <c r="B538" s="8" t="n"/>
      <c r="C538" s="11" t="n"/>
      <c r="D538" s="14">
        <f>IF(B538="","",IFERROR(VLOOKUP(B538,'材料マスタ'!$B$5:$L$104,7,FALSE)&amp;"",""))</f>
        <v/>
      </c>
      <c r="E538" s="13">
        <f>IF(B538="","",IFERROR(VLOOKUP(B538,'材料マスタ'!$B$5:$L$104,11,FALSE),""))</f>
        <v/>
      </c>
      <c r="F538" s="12">
        <f>IF(OR(B538="",C538=""),"",IFERROR(ROUND(C538*E538,2),""))</f>
        <v/>
      </c>
      <c r="G538" s="14">
        <f>IF(B538="","",IFERROR(IF(VLOOKUP(B538,'材料マスタ'!$B$5:$L$104,11,FALSE)="","材料マスタを確認",IF(C538="","使用量を入力","OK")),"未登録の材料"))</f>
        <v/>
      </c>
    </row>
    <row r="539">
      <c r="A539" s="7" t="n">
        <v>8</v>
      </c>
      <c r="B539" s="8" t="n"/>
      <c r="C539" s="11" t="n"/>
      <c r="D539" s="14">
        <f>IF(B539="","",IFERROR(VLOOKUP(B539,'材料マスタ'!$B$5:$L$104,7,FALSE)&amp;"",""))</f>
        <v/>
      </c>
      <c r="E539" s="13">
        <f>IF(B539="","",IFERROR(VLOOKUP(B539,'材料マスタ'!$B$5:$L$104,11,FALSE),""))</f>
        <v/>
      </c>
      <c r="F539" s="12">
        <f>IF(OR(B539="",C539=""),"",IFERROR(ROUND(C539*E539,2),""))</f>
        <v/>
      </c>
      <c r="G539" s="14">
        <f>IF(B539="","",IFERROR(IF(VLOOKUP(B539,'材料マスタ'!$B$5:$L$104,11,FALSE)="","材料マスタを確認",IF(C539="","使用量を入力","OK")),"未登録の材料"))</f>
        <v/>
      </c>
    </row>
    <row r="540">
      <c r="A540" s="7" t="n">
        <v>9</v>
      </c>
      <c r="B540" s="8" t="n"/>
      <c r="C540" s="11" t="n"/>
      <c r="D540" s="14">
        <f>IF(B540="","",IFERROR(VLOOKUP(B540,'材料マスタ'!$B$5:$L$104,7,FALSE)&amp;"",""))</f>
        <v/>
      </c>
      <c r="E540" s="13">
        <f>IF(B540="","",IFERROR(VLOOKUP(B540,'材料マスタ'!$B$5:$L$104,11,FALSE),""))</f>
        <v/>
      </c>
      <c r="F540" s="12">
        <f>IF(OR(B540="",C540=""),"",IFERROR(ROUND(C540*E540,2),""))</f>
        <v/>
      </c>
      <c r="G540" s="14">
        <f>IF(B540="","",IFERROR(IF(VLOOKUP(B540,'材料マスタ'!$B$5:$L$104,11,FALSE)="","材料マスタを確認",IF(C540="","使用量を入力","OK")),"未登録の材料"))</f>
        <v/>
      </c>
    </row>
    <row r="541">
      <c r="A541" s="7" t="n">
        <v>10</v>
      </c>
      <c r="B541" s="8" t="n"/>
      <c r="C541" s="11" t="n"/>
      <c r="D541" s="14">
        <f>IF(B541="","",IFERROR(VLOOKUP(B541,'材料マスタ'!$B$5:$L$104,7,FALSE)&amp;"",""))</f>
        <v/>
      </c>
      <c r="E541" s="13">
        <f>IF(B541="","",IFERROR(VLOOKUP(B541,'材料マスタ'!$B$5:$L$104,11,FALSE),""))</f>
        <v/>
      </c>
      <c r="F541" s="12">
        <f>IF(OR(B541="",C541=""),"",IFERROR(ROUND(C541*E541,2),""))</f>
        <v/>
      </c>
      <c r="G541" s="14">
        <f>IF(B541="","",IFERROR(IF(VLOOKUP(B541,'材料マスタ'!$B$5:$L$104,11,FALSE)="","材料マスタを確認",IF(C541="","使用量を入力","OK")),"未登録の材料"))</f>
        <v/>
      </c>
    </row>
    <row r="542">
      <c r="A542" s="7" t="n">
        <v>11</v>
      </c>
      <c r="B542" s="8" t="n"/>
      <c r="C542" s="11" t="n"/>
      <c r="D542" s="14">
        <f>IF(B542="","",IFERROR(VLOOKUP(B542,'材料マスタ'!$B$5:$L$104,7,FALSE)&amp;"",""))</f>
        <v/>
      </c>
      <c r="E542" s="13">
        <f>IF(B542="","",IFERROR(VLOOKUP(B542,'材料マスタ'!$B$5:$L$104,11,FALSE),""))</f>
        <v/>
      </c>
      <c r="F542" s="12">
        <f>IF(OR(B542="",C542=""),"",IFERROR(ROUND(C542*E542,2),""))</f>
        <v/>
      </c>
      <c r="G542" s="14">
        <f>IF(B542="","",IFERROR(IF(VLOOKUP(B542,'材料マスタ'!$B$5:$L$104,11,FALSE)="","材料マスタを確認",IF(C542="","使用量を入力","OK")),"未登録の材料"))</f>
        <v/>
      </c>
    </row>
    <row r="543">
      <c r="A543" s="7" t="n">
        <v>12</v>
      </c>
      <c r="B543" s="8" t="n"/>
      <c r="C543" s="11" t="n"/>
      <c r="D543" s="14">
        <f>IF(B543="","",IFERROR(VLOOKUP(B543,'材料マスタ'!$B$5:$L$104,7,FALSE)&amp;"",""))</f>
        <v/>
      </c>
      <c r="E543" s="13">
        <f>IF(B543="","",IFERROR(VLOOKUP(B543,'材料マスタ'!$B$5:$L$104,11,FALSE),""))</f>
        <v/>
      </c>
      <c r="F543" s="12">
        <f>IF(OR(B543="",C543=""),"",IFERROR(ROUND(C543*E543,2),""))</f>
        <v/>
      </c>
      <c r="G543" s="14">
        <f>IF(B543="","",IFERROR(IF(VLOOKUP(B543,'材料マスタ'!$B$5:$L$104,11,FALSE)="","材料マスタを確認",IF(C543="","使用量を入力","OK")),"未登録の材料"))</f>
        <v/>
      </c>
    </row>
    <row r="544">
      <c r="A544" s="7" t="n">
        <v>13</v>
      </c>
      <c r="B544" s="8" t="n"/>
      <c r="C544" s="11" t="n"/>
      <c r="D544" s="14">
        <f>IF(B544="","",IFERROR(VLOOKUP(B544,'材料マスタ'!$B$5:$L$104,7,FALSE)&amp;"",""))</f>
        <v/>
      </c>
      <c r="E544" s="13">
        <f>IF(B544="","",IFERROR(VLOOKUP(B544,'材料マスタ'!$B$5:$L$104,11,FALSE),""))</f>
        <v/>
      </c>
      <c r="F544" s="12">
        <f>IF(OR(B544="",C544=""),"",IFERROR(ROUND(C544*E544,2),""))</f>
        <v/>
      </c>
      <c r="G544" s="14">
        <f>IF(B544="","",IFERROR(IF(VLOOKUP(B544,'材料マスタ'!$B$5:$L$104,11,FALSE)="","材料マスタを確認",IF(C544="","使用量を入力","OK")),"未登録の材料"))</f>
        <v/>
      </c>
    </row>
    <row r="545">
      <c r="A545" s="7" t="n">
        <v>14</v>
      </c>
      <c r="B545" s="8" t="n"/>
      <c r="C545" s="11" t="n"/>
      <c r="D545" s="14">
        <f>IF(B545="","",IFERROR(VLOOKUP(B545,'材料マスタ'!$B$5:$L$104,7,FALSE)&amp;"",""))</f>
        <v/>
      </c>
      <c r="E545" s="13">
        <f>IF(B545="","",IFERROR(VLOOKUP(B545,'材料マスタ'!$B$5:$L$104,11,FALSE),""))</f>
        <v/>
      </c>
      <c r="F545" s="12">
        <f>IF(OR(B545="",C545=""),"",IFERROR(ROUND(C545*E545,2),""))</f>
        <v/>
      </c>
      <c r="G545" s="14">
        <f>IF(B545="","",IFERROR(IF(VLOOKUP(B545,'材料マスタ'!$B$5:$L$104,11,FALSE)="","材料マスタを確認",IF(C545="","使用量を入力","OK")),"未登録の材料"))</f>
        <v/>
      </c>
    </row>
    <row r="546">
      <c r="A546" s="7" t="n">
        <v>15</v>
      </c>
      <c r="B546" s="8" t="n"/>
      <c r="C546" s="11" t="n"/>
      <c r="D546" s="14">
        <f>IF(B546="","",IFERROR(VLOOKUP(B546,'材料マスタ'!$B$5:$L$104,7,FALSE)&amp;"",""))</f>
        <v/>
      </c>
      <c r="E546" s="13">
        <f>IF(B546="","",IFERROR(VLOOKUP(B546,'材料マスタ'!$B$5:$L$104,11,FALSE),""))</f>
        <v/>
      </c>
      <c r="F546" s="12">
        <f>IF(OR(B546="",C546=""),"",IFERROR(ROUND(C546*E546,2),""))</f>
        <v/>
      </c>
      <c r="G546" s="14">
        <f>IF(B546="","",IFERROR(IF(VLOOKUP(B546,'材料マスタ'!$B$5:$L$104,11,FALSE)="","材料マスタを確認",IF(C546="","使用量を入力","OK")),"未登録の材料"))</f>
        <v/>
      </c>
    </row>
    <row r="547">
      <c r="B547" s="21" t="inlineStr">
        <is>
          <t>合計原価（税抜・円）</t>
        </is>
      </c>
      <c r="C547" s="22">
        <f>SUM(F532:F546)</f>
        <v/>
      </c>
    </row>
    <row r="548">
      <c r="B548" s="23" t="inlineStr">
        <is>
          <t>目標原価率（適用値）</t>
        </is>
      </c>
      <c r="C548" s="24">
        <f>IF(E530="",'設定'!$C$4,IF(E530&gt;1,E530/100,E530))</f>
        <v/>
      </c>
    </row>
    <row r="549">
      <c r="B549" s="23" t="inlineStr">
        <is>
          <t>売価の税率（適用値）</t>
        </is>
      </c>
      <c r="C549" s="25">
        <f>IF(G530="",'設定'!$C$5,IF(G530&gt;=1,G530/100,G530))</f>
        <v/>
      </c>
    </row>
    <row r="550">
      <c r="B550" s="23" t="inlineStr">
        <is>
          <t>税抜売価（円）</t>
        </is>
      </c>
      <c r="C550" s="22">
        <f>IF(C530="","",IFERROR(ROUND(C530/(1+C549),2),""))</f>
        <v/>
      </c>
    </row>
    <row r="551">
      <c r="B551" s="21" t="inlineStr">
        <is>
          <t>原価率</t>
        </is>
      </c>
      <c r="C551" s="26">
        <f>IFERROR(IF(OR(C550="",C550=0),"",ROUND(C547/C550,4)),"")</f>
        <v/>
      </c>
      <c r="D551" s="7" t="inlineStr">
        <is>
          <t>判定［自動］</t>
        </is>
      </c>
      <c r="E551" s="27">
        <f>IF(C551="",IF(C529="","","売価を入力"),IF(C551&gt;C548,"超過","目標内"))</f>
        <v/>
      </c>
    </row>
    <row r="552">
      <c r="B552" s="23" t="inlineStr">
        <is>
          <t>目標との差（＋は目標超過）</t>
        </is>
      </c>
      <c r="C552" s="28">
        <f>IF(C551="","",ROUND(C551-C548,4))</f>
        <v/>
      </c>
    </row>
    <row r="553" ht="30" customHeight="1">
      <c r="B553" s="21" t="inlineStr">
        <is>
          <t>推奨売価（税込・円／目標原価率から逆算、10円単位で切り上げ）</t>
        </is>
      </c>
      <c r="C553" s="29">
        <f>IFERROR(IF(OR(C547=0,C548=0),"",ROUNDUP(ROUND(C547/C548*(1+C549),2)/10,0)*10),"")</f>
        <v/>
      </c>
    </row>
    <row r="554">
      <c r="A554" s="15" t="inlineStr">
        <is>
          <t>メニュー23</t>
        </is>
      </c>
      <c r="B554" s="16" t="inlineStr">
        <is>
          <t>【入力】メニュー名</t>
        </is>
      </c>
      <c r="C554" s="8" t="n"/>
      <c r="D554" s="17" t="n"/>
      <c r="E554" s="17" t="n"/>
      <c r="F554" s="17" t="n"/>
      <c r="G554" s="18" t="n"/>
    </row>
    <row r="555">
      <c r="B555" s="7" t="inlineStr">
        <is>
          <t>【入力】販売価格（税込・円）</t>
        </is>
      </c>
      <c r="C555" s="9" t="n"/>
      <c r="D555" s="19" t="inlineStr">
        <is>
          <t>【入力】目標原価率（空欄=設定値）</t>
        </is>
      </c>
      <c r="E555" s="10" t="n"/>
      <c r="F555" s="19" t="inlineStr">
        <is>
          <t>【入力】売価の税率（空欄=設定値）</t>
        </is>
      </c>
      <c r="G555" s="10" t="n"/>
    </row>
    <row r="556" ht="32" customHeight="1">
      <c r="A556" s="20" t="inlineStr">
        <is>
          <t>No</t>
        </is>
      </c>
      <c r="B556" s="20" t="inlineStr">
        <is>
          <t>【入力】材料名（リストから選ぶ）</t>
        </is>
      </c>
      <c r="C556" s="20" t="inlineStr">
        <is>
          <t>【入力】使用量</t>
        </is>
      </c>
      <c r="D556" s="20" t="inlineStr">
        <is>
          <t>単位［自動］</t>
        </is>
      </c>
      <c r="E556" s="20" t="inlineStr">
        <is>
          <t>単価（税抜・円/単位）［自動］</t>
        </is>
      </c>
      <c r="F556" s="20" t="inlineStr">
        <is>
          <t>原価（円）［自動］</t>
        </is>
      </c>
      <c r="G556" s="20" t="inlineStr">
        <is>
          <t>チェック［自動］</t>
        </is>
      </c>
    </row>
    <row r="557">
      <c r="A557" s="7" t="n">
        <v>1</v>
      </c>
      <c r="B557" s="8" t="n"/>
      <c r="C557" s="11" t="n"/>
      <c r="D557" s="14">
        <f>IF(B557="","",IFERROR(VLOOKUP(B557,'材料マスタ'!$B$5:$L$104,7,FALSE)&amp;"",""))</f>
        <v/>
      </c>
      <c r="E557" s="13">
        <f>IF(B557="","",IFERROR(VLOOKUP(B557,'材料マスタ'!$B$5:$L$104,11,FALSE),""))</f>
        <v/>
      </c>
      <c r="F557" s="12">
        <f>IF(OR(B557="",C557=""),"",IFERROR(ROUND(C557*E557,2),""))</f>
        <v/>
      </c>
      <c r="G557" s="14">
        <f>IF(B557="","",IFERROR(IF(VLOOKUP(B557,'材料マスタ'!$B$5:$L$104,11,FALSE)="","材料マスタを確認",IF(C557="","使用量を入力","OK")),"未登録の材料"))</f>
        <v/>
      </c>
    </row>
    <row r="558">
      <c r="A558" s="7" t="n">
        <v>2</v>
      </c>
      <c r="B558" s="8" t="n"/>
      <c r="C558" s="11" t="n"/>
      <c r="D558" s="14">
        <f>IF(B558="","",IFERROR(VLOOKUP(B558,'材料マスタ'!$B$5:$L$104,7,FALSE)&amp;"",""))</f>
        <v/>
      </c>
      <c r="E558" s="13">
        <f>IF(B558="","",IFERROR(VLOOKUP(B558,'材料マスタ'!$B$5:$L$104,11,FALSE),""))</f>
        <v/>
      </c>
      <c r="F558" s="12">
        <f>IF(OR(B558="",C558=""),"",IFERROR(ROUND(C558*E558,2),""))</f>
        <v/>
      </c>
      <c r="G558" s="14">
        <f>IF(B558="","",IFERROR(IF(VLOOKUP(B558,'材料マスタ'!$B$5:$L$104,11,FALSE)="","材料マスタを確認",IF(C558="","使用量を入力","OK")),"未登録の材料"))</f>
        <v/>
      </c>
    </row>
    <row r="559">
      <c r="A559" s="7" t="n">
        <v>3</v>
      </c>
      <c r="B559" s="8" t="n"/>
      <c r="C559" s="11" t="n"/>
      <c r="D559" s="14">
        <f>IF(B559="","",IFERROR(VLOOKUP(B559,'材料マスタ'!$B$5:$L$104,7,FALSE)&amp;"",""))</f>
        <v/>
      </c>
      <c r="E559" s="13">
        <f>IF(B559="","",IFERROR(VLOOKUP(B559,'材料マスタ'!$B$5:$L$104,11,FALSE),""))</f>
        <v/>
      </c>
      <c r="F559" s="12">
        <f>IF(OR(B559="",C559=""),"",IFERROR(ROUND(C559*E559,2),""))</f>
        <v/>
      </c>
      <c r="G559" s="14">
        <f>IF(B559="","",IFERROR(IF(VLOOKUP(B559,'材料マスタ'!$B$5:$L$104,11,FALSE)="","材料マスタを確認",IF(C559="","使用量を入力","OK")),"未登録の材料"))</f>
        <v/>
      </c>
    </row>
    <row r="560">
      <c r="A560" s="7" t="n">
        <v>4</v>
      </c>
      <c r="B560" s="8" t="n"/>
      <c r="C560" s="11" t="n"/>
      <c r="D560" s="14">
        <f>IF(B560="","",IFERROR(VLOOKUP(B560,'材料マスタ'!$B$5:$L$104,7,FALSE)&amp;"",""))</f>
        <v/>
      </c>
      <c r="E560" s="13">
        <f>IF(B560="","",IFERROR(VLOOKUP(B560,'材料マスタ'!$B$5:$L$104,11,FALSE),""))</f>
        <v/>
      </c>
      <c r="F560" s="12">
        <f>IF(OR(B560="",C560=""),"",IFERROR(ROUND(C560*E560,2),""))</f>
        <v/>
      </c>
      <c r="G560" s="14">
        <f>IF(B560="","",IFERROR(IF(VLOOKUP(B560,'材料マスタ'!$B$5:$L$104,11,FALSE)="","材料マスタを確認",IF(C560="","使用量を入力","OK")),"未登録の材料"))</f>
        <v/>
      </c>
    </row>
    <row r="561">
      <c r="A561" s="7" t="n">
        <v>5</v>
      </c>
      <c r="B561" s="8" t="n"/>
      <c r="C561" s="11" t="n"/>
      <c r="D561" s="14">
        <f>IF(B561="","",IFERROR(VLOOKUP(B561,'材料マスタ'!$B$5:$L$104,7,FALSE)&amp;"",""))</f>
        <v/>
      </c>
      <c r="E561" s="13">
        <f>IF(B561="","",IFERROR(VLOOKUP(B561,'材料マスタ'!$B$5:$L$104,11,FALSE),""))</f>
        <v/>
      </c>
      <c r="F561" s="12">
        <f>IF(OR(B561="",C561=""),"",IFERROR(ROUND(C561*E561,2),""))</f>
        <v/>
      </c>
      <c r="G561" s="14">
        <f>IF(B561="","",IFERROR(IF(VLOOKUP(B561,'材料マスタ'!$B$5:$L$104,11,FALSE)="","材料マスタを確認",IF(C561="","使用量を入力","OK")),"未登録の材料"))</f>
        <v/>
      </c>
    </row>
    <row r="562">
      <c r="A562" s="7" t="n">
        <v>6</v>
      </c>
      <c r="B562" s="8" t="n"/>
      <c r="C562" s="11" t="n"/>
      <c r="D562" s="14">
        <f>IF(B562="","",IFERROR(VLOOKUP(B562,'材料マスタ'!$B$5:$L$104,7,FALSE)&amp;"",""))</f>
        <v/>
      </c>
      <c r="E562" s="13">
        <f>IF(B562="","",IFERROR(VLOOKUP(B562,'材料マスタ'!$B$5:$L$104,11,FALSE),""))</f>
        <v/>
      </c>
      <c r="F562" s="12">
        <f>IF(OR(B562="",C562=""),"",IFERROR(ROUND(C562*E562,2),""))</f>
        <v/>
      </c>
      <c r="G562" s="14">
        <f>IF(B562="","",IFERROR(IF(VLOOKUP(B562,'材料マスタ'!$B$5:$L$104,11,FALSE)="","材料マスタを確認",IF(C562="","使用量を入力","OK")),"未登録の材料"))</f>
        <v/>
      </c>
    </row>
    <row r="563">
      <c r="A563" s="7" t="n">
        <v>7</v>
      </c>
      <c r="B563" s="8" t="n"/>
      <c r="C563" s="11" t="n"/>
      <c r="D563" s="14">
        <f>IF(B563="","",IFERROR(VLOOKUP(B563,'材料マスタ'!$B$5:$L$104,7,FALSE)&amp;"",""))</f>
        <v/>
      </c>
      <c r="E563" s="13">
        <f>IF(B563="","",IFERROR(VLOOKUP(B563,'材料マスタ'!$B$5:$L$104,11,FALSE),""))</f>
        <v/>
      </c>
      <c r="F563" s="12">
        <f>IF(OR(B563="",C563=""),"",IFERROR(ROUND(C563*E563,2),""))</f>
        <v/>
      </c>
      <c r="G563" s="14">
        <f>IF(B563="","",IFERROR(IF(VLOOKUP(B563,'材料マスタ'!$B$5:$L$104,11,FALSE)="","材料マスタを確認",IF(C563="","使用量を入力","OK")),"未登録の材料"))</f>
        <v/>
      </c>
    </row>
    <row r="564">
      <c r="A564" s="7" t="n">
        <v>8</v>
      </c>
      <c r="B564" s="8" t="n"/>
      <c r="C564" s="11" t="n"/>
      <c r="D564" s="14">
        <f>IF(B564="","",IFERROR(VLOOKUP(B564,'材料マスタ'!$B$5:$L$104,7,FALSE)&amp;"",""))</f>
        <v/>
      </c>
      <c r="E564" s="13">
        <f>IF(B564="","",IFERROR(VLOOKUP(B564,'材料マスタ'!$B$5:$L$104,11,FALSE),""))</f>
        <v/>
      </c>
      <c r="F564" s="12">
        <f>IF(OR(B564="",C564=""),"",IFERROR(ROUND(C564*E564,2),""))</f>
        <v/>
      </c>
      <c r="G564" s="14">
        <f>IF(B564="","",IFERROR(IF(VLOOKUP(B564,'材料マスタ'!$B$5:$L$104,11,FALSE)="","材料マスタを確認",IF(C564="","使用量を入力","OK")),"未登録の材料"))</f>
        <v/>
      </c>
    </row>
    <row r="565">
      <c r="A565" s="7" t="n">
        <v>9</v>
      </c>
      <c r="B565" s="8" t="n"/>
      <c r="C565" s="11" t="n"/>
      <c r="D565" s="14">
        <f>IF(B565="","",IFERROR(VLOOKUP(B565,'材料マスタ'!$B$5:$L$104,7,FALSE)&amp;"",""))</f>
        <v/>
      </c>
      <c r="E565" s="13">
        <f>IF(B565="","",IFERROR(VLOOKUP(B565,'材料マスタ'!$B$5:$L$104,11,FALSE),""))</f>
        <v/>
      </c>
      <c r="F565" s="12">
        <f>IF(OR(B565="",C565=""),"",IFERROR(ROUND(C565*E565,2),""))</f>
        <v/>
      </c>
      <c r="G565" s="14">
        <f>IF(B565="","",IFERROR(IF(VLOOKUP(B565,'材料マスタ'!$B$5:$L$104,11,FALSE)="","材料マスタを確認",IF(C565="","使用量を入力","OK")),"未登録の材料"))</f>
        <v/>
      </c>
    </row>
    <row r="566">
      <c r="A566" s="7" t="n">
        <v>10</v>
      </c>
      <c r="B566" s="8" t="n"/>
      <c r="C566" s="11" t="n"/>
      <c r="D566" s="14">
        <f>IF(B566="","",IFERROR(VLOOKUP(B566,'材料マスタ'!$B$5:$L$104,7,FALSE)&amp;"",""))</f>
        <v/>
      </c>
      <c r="E566" s="13">
        <f>IF(B566="","",IFERROR(VLOOKUP(B566,'材料マスタ'!$B$5:$L$104,11,FALSE),""))</f>
        <v/>
      </c>
      <c r="F566" s="12">
        <f>IF(OR(B566="",C566=""),"",IFERROR(ROUND(C566*E566,2),""))</f>
        <v/>
      </c>
      <c r="G566" s="14">
        <f>IF(B566="","",IFERROR(IF(VLOOKUP(B566,'材料マスタ'!$B$5:$L$104,11,FALSE)="","材料マスタを確認",IF(C566="","使用量を入力","OK")),"未登録の材料"))</f>
        <v/>
      </c>
    </row>
    <row r="567">
      <c r="A567" s="7" t="n">
        <v>11</v>
      </c>
      <c r="B567" s="8" t="n"/>
      <c r="C567" s="11" t="n"/>
      <c r="D567" s="14">
        <f>IF(B567="","",IFERROR(VLOOKUP(B567,'材料マスタ'!$B$5:$L$104,7,FALSE)&amp;"",""))</f>
        <v/>
      </c>
      <c r="E567" s="13">
        <f>IF(B567="","",IFERROR(VLOOKUP(B567,'材料マスタ'!$B$5:$L$104,11,FALSE),""))</f>
        <v/>
      </c>
      <c r="F567" s="12">
        <f>IF(OR(B567="",C567=""),"",IFERROR(ROUND(C567*E567,2),""))</f>
        <v/>
      </c>
      <c r="G567" s="14">
        <f>IF(B567="","",IFERROR(IF(VLOOKUP(B567,'材料マスタ'!$B$5:$L$104,11,FALSE)="","材料マスタを確認",IF(C567="","使用量を入力","OK")),"未登録の材料"))</f>
        <v/>
      </c>
    </row>
    <row r="568">
      <c r="A568" s="7" t="n">
        <v>12</v>
      </c>
      <c r="B568" s="8" t="n"/>
      <c r="C568" s="11" t="n"/>
      <c r="D568" s="14">
        <f>IF(B568="","",IFERROR(VLOOKUP(B568,'材料マスタ'!$B$5:$L$104,7,FALSE)&amp;"",""))</f>
        <v/>
      </c>
      <c r="E568" s="13">
        <f>IF(B568="","",IFERROR(VLOOKUP(B568,'材料マスタ'!$B$5:$L$104,11,FALSE),""))</f>
        <v/>
      </c>
      <c r="F568" s="12">
        <f>IF(OR(B568="",C568=""),"",IFERROR(ROUND(C568*E568,2),""))</f>
        <v/>
      </c>
      <c r="G568" s="14">
        <f>IF(B568="","",IFERROR(IF(VLOOKUP(B568,'材料マスタ'!$B$5:$L$104,11,FALSE)="","材料マスタを確認",IF(C568="","使用量を入力","OK")),"未登録の材料"))</f>
        <v/>
      </c>
    </row>
    <row r="569">
      <c r="A569" s="7" t="n">
        <v>13</v>
      </c>
      <c r="B569" s="8" t="n"/>
      <c r="C569" s="11" t="n"/>
      <c r="D569" s="14">
        <f>IF(B569="","",IFERROR(VLOOKUP(B569,'材料マスタ'!$B$5:$L$104,7,FALSE)&amp;"",""))</f>
        <v/>
      </c>
      <c r="E569" s="13">
        <f>IF(B569="","",IFERROR(VLOOKUP(B569,'材料マスタ'!$B$5:$L$104,11,FALSE),""))</f>
        <v/>
      </c>
      <c r="F569" s="12">
        <f>IF(OR(B569="",C569=""),"",IFERROR(ROUND(C569*E569,2),""))</f>
        <v/>
      </c>
      <c r="G569" s="14">
        <f>IF(B569="","",IFERROR(IF(VLOOKUP(B569,'材料マスタ'!$B$5:$L$104,11,FALSE)="","材料マスタを確認",IF(C569="","使用量を入力","OK")),"未登録の材料"))</f>
        <v/>
      </c>
    </row>
    <row r="570">
      <c r="A570" s="7" t="n">
        <v>14</v>
      </c>
      <c r="B570" s="8" t="n"/>
      <c r="C570" s="11" t="n"/>
      <c r="D570" s="14">
        <f>IF(B570="","",IFERROR(VLOOKUP(B570,'材料マスタ'!$B$5:$L$104,7,FALSE)&amp;"",""))</f>
        <v/>
      </c>
      <c r="E570" s="13">
        <f>IF(B570="","",IFERROR(VLOOKUP(B570,'材料マスタ'!$B$5:$L$104,11,FALSE),""))</f>
        <v/>
      </c>
      <c r="F570" s="12">
        <f>IF(OR(B570="",C570=""),"",IFERROR(ROUND(C570*E570,2),""))</f>
        <v/>
      </c>
      <c r="G570" s="14">
        <f>IF(B570="","",IFERROR(IF(VLOOKUP(B570,'材料マスタ'!$B$5:$L$104,11,FALSE)="","材料マスタを確認",IF(C570="","使用量を入力","OK")),"未登録の材料"))</f>
        <v/>
      </c>
    </row>
    <row r="571">
      <c r="A571" s="7" t="n">
        <v>15</v>
      </c>
      <c r="B571" s="8" t="n"/>
      <c r="C571" s="11" t="n"/>
      <c r="D571" s="14">
        <f>IF(B571="","",IFERROR(VLOOKUP(B571,'材料マスタ'!$B$5:$L$104,7,FALSE)&amp;"",""))</f>
        <v/>
      </c>
      <c r="E571" s="13">
        <f>IF(B571="","",IFERROR(VLOOKUP(B571,'材料マスタ'!$B$5:$L$104,11,FALSE),""))</f>
        <v/>
      </c>
      <c r="F571" s="12">
        <f>IF(OR(B571="",C571=""),"",IFERROR(ROUND(C571*E571,2),""))</f>
        <v/>
      </c>
      <c r="G571" s="14">
        <f>IF(B571="","",IFERROR(IF(VLOOKUP(B571,'材料マスタ'!$B$5:$L$104,11,FALSE)="","材料マスタを確認",IF(C571="","使用量を入力","OK")),"未登録の材料"))</f>
        <v/>
      </c>
    </row>
    <row r="572">
      <c r="B572" s="21" t="inlineStr">
        <is>
          <t>合計原価（税抜・円）</t>
        </is>
      </c>
      <c r="C572" s="22">
        <f>SUM(F557:F571)</f>
        <v/>
      </c>
    </row>
    <row r="573">
      <c r="B573" s="23" t="inlineStr">
        <is>
          <t>目標原価率（適用値）</t>
        </is>
      </c>
      <c r="C573" s="24">
        <f>IF(E555="",'設定'!$C$4,IF(E555&gt;1,E555/100,E555))</f>
        <v/>
      </c>
    </row>
    <row r="574">
      <c r="B574" s="23" t="inlineStr">
        <is>
          <t>売価の税率（適用値）</t>
        </is>
      </c>
      <c r="C574" s="25">
        <f>IF(G555="",'設定'!$C$5,IF(G555&gt;=1,G555/100,G555))</f>
        <v/>
      </c>
    </row>
    <row r="575">
      <c r="B575" s="23" t="inlineStr">
        <is>
          <t>税抜売価（円）</t>
        </is>
      </c>
      <c r="C575" s="22">
        <f>IF(C555="","",IFERROR(ROUND(C555/(1+C574),2),""))</f>
        <v/>
      </c>
    </row>
    <row r="576">
      <c r="B576" s="21" t="inlineStr">
        <is>
          <t>原価率</t>
        </is>
      </c>
      <c r="C576" s="26">
        <f>IFERROR(IF(OR(C575="",C575=0),"",ROUND(C572/C575,4)),"")</f>
        <v/>
      </c>
      <c r="D576" s="7" t="inlineStr">
        <is>
          <t>判定［自動］</t>
        </is>
      </c>
      <c r="E576" s="27">
        <f>IF(C576="",IF(C554="","","売価を入力"),IF(C576&gt;C573,"超過","目標内"))</f>
        <v/>
      </c>
    </row>
    <row r="577">
      <c r="B577" s="23" t="inlineStr">
        <is>
          <t>目標との差（＋は目標超過）</t>
        </is>
      </c>
      <c r="C577" s="28">
        <f>IF(C576="","",ROUND(C576-C573,4))</f>
        <v/>
      </c>
    </row>
    <row r="578" ht="30" customHeight="1">
      <c r="B578" s="21" t="inlineStr">
        <is>
          <t>推奨売価（税込・円／目標原価率から逆算、10円単位で切り上げ）</t>
        </is>
      </c>
      <c r="C578" s="29">
        <f>IFERROR(IF(OR(C572=0,C573=0),"",ROUNDUP(ROUND(C572/C573*(1+C574),2)/10,0)*10),"")</f>
        <v/>
      </c>
    </row>
    <row r="579">
      <c r="A579" s="15" t="inlineStr">
        <is>
          <t>メニュー24</t>
        </is>
      </c>
      <c r="B579" s="16" t="inlineStr">
        <is>
          <t>【入力】メニュー名</t>
        </is>
      </c>
      <c r="C579" s="8" t="n"/>
      <c r="D579" s="17" t="n"/>
      <c r="E579" s="17" t="n"/>
      <c r="F579" s="17" t="n"/>
      <c r="G579" s="18" t="n"/>
    </row>
    <row r="580">
      <c r="B580" s="7" t="inlineStr">
        <is>
          <t>【入力】販売価格（税込・円）</t>
        </is>
      </c>
      <c r="C580" s="9" t="n"/>
      <c r="D580" s="19" t="inlineStr">
        <is>
          <t>【入力】目標原価率（空欄=設定値）</t>
        </is>
      </c>
      <c r="E580" s="10" t="n"/>
      <c r="F580" s="19" t="inlineStr">
        <is>
          <t>【入力】売価の税率（空欄=設定値）</t>
        </is>
      </c>
      <c r="G580" s="10" t="n"/>
    </row>
    <row r="581" ht="32" customHeight="1">
      <c r="A581" s="20" t="inlineStr">
        <is>
          <t>No</t>
        </is>
      </c>
      <c r="B581" s="20" t="inlineStr">
        <is>
          <t>【入力】材料名（リストから選ぶ）</t>
        </is>
      </c>
      <c r="C581" s="20" t="inlineStr">
        <is>
          <t>【入力】使用量</t>
        </is>
      </c>
      <c r="D581" s="20" t="inlineStr">
        <is>
          <t>単位［自動］</t>
        </is>
      </c>
      <c r="E581" s="20" t="inlineStr">
        <is>
          <t>単価（税抜・円/単位）［自動］</t>
        </is>
      </c>
      <c r="F581" s="20" t="inlineStr">
        <is>
          <t>原価（円）［自動］</t>
        </is>
      </c>
      <c r="G581" s="20" t="inlineStr">
        <is>
          <t>チェック［自動］</t>
        </is>
      </c>
    </row>
    <row r="582">
      <c r="A582" s="7" t="n">
        <v>1</v>
      </c>
      <c r="B582" s="8" t="n"/>
      <c r="C582" s="11" t="n"/>
      <c r="D582" s="14">
        <f>IF(B582="","",IFERROR(VLOOKUP(B582,'材料マスタ'!$B$5:$L$104,7,FALSE)&amp;"",""))</f>
        <v/>
      </c>
      <c r="E582" s="13">
        <f>IF(B582="","",IFERROR(VLOOKUP(B582,'材料マスタ'!$B$5:$L$104,11,FALSE),""))</f>
        <v/>
      </c>
      <c r="F582" s="12">
        <f>IF(OR(B582="",C582=""),"",IFERROR(ROUND(C582*E582,2),""))</f>
        <v/>
      </c>
      <c r="G582" s="14">
        <f>IF(B582="","",IFERROR(IF(VLOOKUP(B582,'材料マスタ'!$B$5:$L$104,11,FALSE)="","材料マスタを確認",IF(C582="","使用量を入力","OK")),"未登録の材料"))</f>
        <v/>
      </c>
    </row>
    <row r="583">
      <c r="A583" s="7" t="n">
        <v>2</v>
      </c>
      <c r="B583" s="8" t="n"/>
      <c r="C583" s="11" t="n"/>
      <c r="D583" s="14">
        <f>IF(B583="","",IFERROR(VLOOKUP(B583,'材料マスタ'!$B$5:$L$104,7,FALSE)&amp;"",""))</f>
        <v/>
      </c>
      <c r="E583" s="13">
        <f>IF(B583="","",IFERROR(VLOOKUP(B583,'材料マスタ'!$B$5:$L$104,11,FALSE),""))</f>
        <v/>
      </c>
      <c r="F583" s="12">
        <f>IF(OR(B583="",C583=""),"",IFERROR(ROUND(C583*E583,2),""))</f>
        <v/>
      </c>
      <c r="G583" s="14">
        <f>IF(B583="","",IFERROR(IF(VLOOKUP(B583,'材料マスタ'!$B$5:$L$104,11,FALSE)="","材料マスタを確認",IF(C583="","使用量を入力","OK")),"未登録の材料"))</f>
        <v/>
      </c>
    </row>
    <row r="584">
      <c r="A584" s="7" t="n">
        <v>3</v>
      </c>
      <c r="B584" s="8" t="n"/>
      <c r="C584" s="11" t="n"/>
      <c r="D584" s="14">
        <f>IF(B584="","",IFERROR(VLOOKUP(B584,'材料マスタ'!$B$5:$L$104,7,FALSE)&amp;"",""))</f>
        <v/>
      </c>
      <c r="E584" s="13">
        <f>IF(B584="","",IFERROR(VLOOKUP(B584,'材料マスタ'!$B$5:$L$104,11,FALSE),""))</f>
        <v/>
      </c>
      <c r="F584" s="12">
        <f>IF(OR(B584="",C584=""),"",IFERROR(ROUND(C584*E584,2),""))</f>
        <v/>
      </c>
      <c r="G584" s="14">
        <f>IF(B584="","",IFERROR(IF(VLOOKUP(B584,'材料マスタ'!$B$5:$L$104,11,FALSE)="","材料マスタを確認",IF(C584="","使用量を入力","OK")),"未登録の材料"))</f>
        <v/>
      </c>
    </row>
    <row r="585">
      <c r="A585" s="7" t="n">
        <v>4</v>
      </c>
      <c r="B585" s="8" t="n"/>
      <c r="C585" s="11" t="n"/>
      <c r="D585" s="14">
        <f>IF(B585="","",IFERROR(VLOOKUP(B585,'材料マスタ'!$B$5:$L$104,7,FALSE)&amp;"",""))</f>
        <v/>
      </c>
      <c r="E585" s="13">
        <f>IF(B585="","",IFERROR(VLOOKUP(B585,'材料マスタ'!$B$5:$L$104,11,FALSE),""))</f>
        <v/>
      </c>
      <c r="F585" s="12">
        <f>IF(OR(B585="",C585=""),"",IFERROR(ROUND(C585*E585,2),""))</f>
        <v/>
      </c>
      <c r="G585" s="14">
        <f>IF(B585="","",IFERROR(IF(VLOOKUP(B585,'材料マスタ'!$B$5:$L$104,11,FALSE)="","材料マスタを確認",IF(C585="","使用量を入力","OK")),"未登録の材料"))</f>
        <v/>
      </c>
    </row>
    <row r="586">
      <c r="A586" s="7" t="n">
        <v>5</v>
      </c>
      <c r="B586" s="8" t="n"/>
      <c r="C586" s="11" t="n"/>
      <c r="D586" s="14">
        <f>IF(B586="","",IFERROR(VLOOKUP(B586,'材料マスタ'!$B$5:$L$104,7,FALSE)&amp;"",""))</f>
        <v/>
      </c>
      <c r="E586" s="13">
        <f>IF(B586="","",IFERROR(VLOOKUP(B586,'材料マスタ'!$B$5:$L$104,11,FALSE),""))</f>
        <v/>
      </c>
      <c r="F586" s="12">
        <f>IF(OR(B586="",C586=""),"",IFERROR(ROUND(C586*E586,2),""))</f>
        <v/>
      </c>
      <c r="G586" s="14">
        <f>IF(B586="","",IFERROR(IF(VLOOKUP(B586,'材料マスタ'!$B$5:$L$104,11,FALSE)="","材料マスタを確認",IF(C586="","使用量を入力","OK")),"未登録の材料"))</f>
        <v/>
      </c>
    </row>
    <row r="587">
      <c r="A587" s="7" t="n">
        <v>6</v>
      </c>
      <c r="B587" s="8" t="n"/>
      <c r="C587" s="11" t="n"/>
      <c r="D587" s="14">
        <f>IF(B587="","",IFERROR(VLOOKUP(B587,'材料マスタ'!$B$5:$L$104,7,FALSE)&amp;"",""))</f>
        <v/>
      </c>
      <c r="E587" s="13">
        <f>IF(B587="","",IFERROR(VLOOKUP(B587,'材料マスタ'!$B$5:$L$104,11,FALSE),""))</f>
        <v/>
      </c>
      <c r="F587" s="12">
        <f>IF(OR(B587="",C587=""),"",IFERROR(ROUND(C587*E587,2),""))</f>
        <v/>
      </c>
      <c r="G587" s="14">
        <f>IF(B587="","",IFERROR(IF(VLOOKUP(B587,'材料マスタ'!$B$5:$L$104,11,FALSE)="","材料マスタを確認",IF(C587="","使用量を入力","OK")),"未登録の材料"))</f>
        <v/>
      </c>
    </row>
    <row r="588">
      <c r="A588" s="7" t="n">
        <v>7</v>
      </c>
      <c r="B588" s="8" t="n"/>
      <c r="C588" s="11" t="n"/>
      <c r="D588" s="14">
        <f>IF(B588="","",IFERROR(VLOOKUP(B588,'材料マスタ'!$B$5:$L$104,7,FALSE)&amp;"",""))</f>
        <v/>
      </c>
      <c r="E588" s="13">
        <f>IF(B588="","",IFERROR(VLOOKUP(B588,'材料マスタ'!$B$5:$L$104,11,FALSE),""))</f>
        <v/>
      </c>
      <c r="F588" s="12">
        <f>IF(OR(B588="",C588=""),"",IFERROR(ROUND(C588*E588,2),""))</f>
        <v/>
      </c>
      <c r="G588" s="14">
        <f>IF(B588="","",IFERROR(IF(VLOOKUP(B588,'材料マスタ'!$B$5:$L$104,11,FALSE)="","材料マスタを確認",IF(C588="","使用量を入力","OK")),"未登録の材料"))</f>
        <v/>
      </c>
    </row>
    <row r="589">
      <c r="A589" s="7" t="n">
        <v>8</v>
      </c>
      <c r="B589" s="8" t="n"/>
      <c r="C589" s="11" t="n"/>
      <c r="D589" s="14">
        <f>IF(B589="","",IFERROR(VLOOKUP(B589,'材料マスタ'!$B$5:$L$104,7,FALSE)&amp;"",""))</f>
        <v/>
      </c>
      <c r="E589" s="13">
        <f>IF(B589="","",IFERROR(VLOOKUP(B589,'材料マスタ'!$B$5:$L$104,11,FALSE),""))</f>
        <v/>
      </c>
      <c r="F589" s="12">
        <f>IF(OR(B589="",C589=""),"",IFERROR(ROUND(C589*E589,2),""))</f>
        <v/>
      </c>
      <c r="G589" s="14">
        <f>IF(B589="","",IFERROR(IF(VLOOKUP(B589,'材料マスタ'!$B$5:$L$104,11,FALSE)="","材料マスタを確認",IF(C589="","使用量を入力","OK")),"未登録の材料"))</f>
        <v/>
      </c>
    </row>
    <row r="590">
      <c r="A590" s="7" t="n">
        <v>9</v>
      </c>
      <c r="B590" s="8" t="n"/>
      <c r="C590" s="11" t="n"/>
      <c r="D590" s="14">
        <f>IF(B590="","",IFERROR(VLOOKUP(B590,'材料マスタ'!$B$5:$L$104,7,FALSE)&amp;"",""))</f>
        <v/>
      </c>
      <c r="E590" s="13">
        <f>IF(B590="","",IFERROR(VLOOKUP(B590,'材料マスタ'!$B$5:$L$104,11,FALSE),""))</f>
        <v/>
      </c>
      <c r="F590" s="12">
        <f>IF(OR(B590="",C590=""),"",IFERROR(ROUND(C590*E590,2),""))</f>
        <v/>
      </c>
      <c r="G590" s="14">
        <f>IF(B590="","",IFERROR(IF(VLOOKUP(B590,'材料マスタ'!$B$5:$L$104,11,FALSE)="","材料マスタを確認",IF(C590="","使用量を入力","OK")),"未登録の材料"))</f>
        <v/>
      </c>
    </row>
    <row r="591">
      <c r="A591" s="7" t="n">
        <v>10</v>
      </c>
      <c r="B591" s="8" t="n"/>
      <c r="C591" s="11" t="n"/>
      <c r="D591" s="14">
        <f>IF(B591="","",IFERROR(VLOOKUP(B591,'材料マスタ'!$B$5:$L$104,7,FALSE)&amp;"",""))</f>
        <v/>
      </c>
      <c r="E591" s="13">
        <f>IF(B591="","",IFERROR(VLOOKUP(B591,'材料マスタ'!$B$5:$L$104,11,FALSE),""))</f>
        <v/>
      </c>
      <c r="F591" s="12">
        <f>IF(OR(B591="",C591=""),"",IFERROR(ROUND(C591*E591,2),""))</f>
        <v/>
      </c>
      <c r="G591" s="14">
        <f>IF(B591="","",IFERROR(IF(VLOOKUP(B591,'材料マスタ'!$B$5:$L$104,11,FALSE)="","材料マスタを確認",IF(C591="","使用量を入力","OK")),"未登録の材料"))</f>
        <v/>
      </c>
    </row>
    <row r="592">
      <c r="A592" s="7" t="n">
        <v>11</v>
      </c>
      <c r="B592" s="8" t="n"/>
      <c r="C592" s="11" t="n"/>
      <c r="D592" s="14">
        <f>IF(B592="","",IFERROR(VLOOKUP(B592,'材料マスタ'!$B$5:$L$104,7,FALSE)&amp;"",""))</f>
        <v/>
      </c>
      <c r="E592" s="13">
        <f>IF(B592="","",IFERROR(VLOOKUP(B592,'材料マスタ'!$B$5:$L$104,11,FALSE),""))</f>
        <v/>
      </c>
      <c r="F592" s="12">
        <f>IF(OR(B592="",C592=""),"",IFERROR(ROUND(C592*E592,2),""))</f>
        <v/>
      </c>
      <c r="G592" s="14">
        <f>IF(B592="","",IFERROR(IF(VLOOKUP(B592,'材料マスタ'!$B$5:$L$104,11,FALSE)="","材料マスタを確認",IF(C592="","使用量を入力","OK")),"未登録の材料"))</f>
        <v/>
      </c>
    </row>
    <row r="593">
      <c r="A593" s="7" t="n">
        <v>12</v>
      </c>
      <c r="B593" s="8" t="n"/>
      <c r="C593" s="11" t="n"/>
      <c r="D593" s="14">
        <f>IF(B593="","",IFERROR(VLOOKUP(B593,'材料マスタ'!$B$5:$L$104,7,FALSE)&amp;"",""))</f>
        <v/>
      </c>
      <c r="E593" s="13">
        <f>IF(B593="","",IFERROR(VLOOKUP(B593,'材料マスタ'!$B$5:$L$104,11,FALSE),""))</f>
        <v/>
      </c>
      <c r="F593" s="12">
        <f>IF(OR(B593="",C593=""),"",IFERROR(ROUND(C593*E593,2),""))</f>
        <v/>
      </c>
      <c r="G593" s="14">
        <f>IF(B593="","",IFERROR(IF(VLOOKUP(B593,'材料マスタ'!$B$5:$L$104,11,FALSE)="","材料マスタを確認",IF(C593="","使用量を入力","OK")),"未登録の材料"))</f>
        <v/>
      </c>
    </row>
    <row r="594">
      <c r="A594" s="7" t="n">
        <v>13</v>
      </c>
      <c r="B594" s="8" t="n"/>
      <c r="C594" s="11" t="n"/>
      <c r="D594" s="14">
        <f>IF(B594="","",IFERROR(VLOOKUP(B594,'材料マスタ'!$B$5:$L$104,7,FALSE)&amp;"",""))</f>
        <v/>
      </c>
      <c r="E594" s="13">
        <f>IF(B594="","",IFERROR(VLOOKUP(B594,'材料マスタ'!$B$5:$L$104,11,FALSE),""))</f>
        <v/>
      </c>
      <c r="F594" s="12">
        <f>IF(OR(B594="",C594=""),"",IFERROR(ROUND(C594*E594,2),""))</f>
        <v/>
      </c>
      <c r="G594" s="14">
        <f>IF(B594="","",IFERROR(IF(VLOOKUP(B594,'材料マスタ'!$B$5:$L$104,11,FALSE)="","材料マスタを確認",IF(C594="","使用量を入力","OK")),"未登録の材料"))</f>
        <v/>
      </c>
    </row>
    <row r="595">
      <c r="A595" s="7" t="n">
        <v>14</v>
      </c>
      <c r="B595" s="8" t="n"/>
      <c r="C595" s="11" t="n"/>
      <c r="D595" s="14">
        <f>IF(B595="","",IFERROR(VLOOKUP(B595,'材料マスタ'!$B$5:$L$104,7,FALSE)&amp;"",""))</f>
        <v/>
      </c>
      <c r="E595" s="13">
        <f>IF(B595="","",IFERROR(VLOOKUP(B595,'材料マスタ'!$B$5:$L$104,11,FALSE),""))</f>
        <v/>
      </c>
      <c r="F595" s="12">
        <f>IF(OR(B595="",C595=""),"",IFERROR(ROUND(C595*E595,2),""))</f>
        <v/>
      </c>
      <c r="G595" s="14">
        <f>IF(B595="","",IFERROR(IF(VLOOKUP(B595,'材料マスタ'!$B$5:$L$104,11,FALSE)="","材料マスタを確認",IF(C595="","使用量を入力","OK")),"未登録の材料"))</f>
        <v/>
      </c>
    </row>
    <row r="596">
      <c r="A596" s="7" t="n">
        <v>15</v>
      </c>
      <c r="B596" s="8" t="n"/>
      <c r="C596" s="11" t="n"/>
      <c r="D596" s="14">
        <f>IF(B596="","",IFERROR(VLOOKUP(B596,'材料マスタ'!$B$5:$L$104,7,FALSE)&amp;"",""))</f>
        <v/>
      </c>
      <c r="E596" s="13">
        <f>IF(B596="","",IFERROR(VLOOKUP(B596,'材料マスタ'!$B$5:$L$104,11,FALSE),""))</f>
        <v/>
      </c>
      <c r="F596" s="12">
        <f>IF(OR(B596="",C596=""),"",IFERROR(ROUND(C596*E596,2),""))</f>
        <v/>
      </c>
      <c r="G596" s="14">
        <f>IF(B596="","",IFERROR(IF(VLOOKUP(B596,'材料マスタ'!$B$5:$L$104,11,FALSE)="","材料マスタを確認",IF(C596="","使用量を入力","OK")),"未登録の材料"))</f>
        <v/>
      </c>
    </row>
    <row r="597">
      <c r="B597" s="21" t="inlineStr">
        <is>
          <t>合計原価（税抜・円）</t>
        </is>
      </c>
      <c r="C597" s="22">
        <f>SUM(F582:F596)</f>
        <v/>
      </c>
    </row>
    <row r="598">
      <c r="B598" s="23" t="inlineStr">
        <is>
          <t>目標原価率（適用値）</t>
        </is>
      </c>
      <c r="C598" s="24">
        <f>IF(E580="",'設定'!$C$4,IF(E580&gt;1,E580/100,E580))</f>
        <v/>
      </c>
    </row>
    <row r="599">
      <c r="B599" s="23" t="inlineStr">
        <is>
          <t>売価の税率（適用値）</t>
        </is>
      </c>
      <c r="C599" s="25">
        <f>IF(G580="",'設定'!$C$5,IF(G580&gt;=1,G580/100,G580))</f>
        <v/>
      </c>
    </row>
    <row r="600">
      <c r="B600" s="23" t="inlineStr">
        <is>
          <t>税抜売価（円）</t>
        </is>
      </c>
      <c r="C600" s="22">
        <f>IF(C580="","",IFERROR(ROUND(C580/(1+C599),2),""))</f>
        <v/>
      </c>
    </row>
    <row r="601">
      <c r="B601" s="21" t="inlineStr">
        <is>
          <t>原価率</t>
        </is>
      </c>
      <c r="C601" s="26">
        <f>IFERROR(IF(OR(C600="",C600=0),"",ROUND(C597/C600,4)),"")</f>
        <v/>
      </c>
      <c r="D601" s="7" t="inlineStr">
        <is>
          <t>判定［自動］</t>
        </is>
      </c>
      <c r="E601" s="27">
        <f>IF(C601="",IF(C579="","","売価を入力"),IF(C601&gt;C598,"超過","目標内"))</f>
        <v/>
      </c>
    </row>
    <row r="602">
      <c r="B602" s="23" t="inlineStr">
        <is>
          <t>目標との差（＋は目標超過）</t>
        </is>
      </c>
      <c r="C602" s="28">
        <f>IF(C601="","",ROUND(C601-C598,4))</f>
        <v/>
      </c>
    </row>
    <row r="603" ht="30" customHeight="1">
      <c r="B603" s="21" t="inlineStr">
        <is>
          <t>推奨売価（税込・円／目標原価率から逆算、10円単位で切り上げ）</t>
        </is>
      </c>
      <c r="C603" s="29">
        <f>IFERROR(IF(OR(C597=0,C598=0),"",ROUNDUP(ROUND(C597/C598*(1+C599),2)/10,0)*10),"")</f>
        <v/>
      </c>
    </row>
    <row r="604">
      <c r="A604" s="15" t="inlineStr">
        <is>
          <t>メニュー25</t>
        </is>
      </c>
      <c r="B604" s="16" t="inlineStr">
        <is>
          <t>【入力】メニュー名</t>
        </is>
      </c>
      <c r="C604" s="8" t="n"/>
      <c r="D604" s="17" t="n"/>
      <c r="E604" s="17" t="n"/>
      <c r="F604" s="17" t="n"/>
      <c r="G604" s="18" t="n"/>
    </row>
    <row r="605">
      <c r="B605" s="7" t="inlineStr">
        <is>
          <t>【入力】販売価格（税込・円）</t>
        </is>
      </c>
      <c r="C605" s="9" t="n"/>
      <c r="D605" s="19" t="inlineStr">
        <is>
          <t>【入力】目標原価率（空欄=設定値）</t>
        </is>
      </c>
      <c r="E605" s="10" t="n"/>
      <c r="F605" s="19" t="inlineStr">
        <is>
          <t>【入力】売価の税率（空欄=設定値）</t>
        </is>
      </c>
      <c r="G605" s="10" t="n"/>
    </row>
    <row r="606" ht="32" customHeight="1">
      <c r="A606" s="20" t="inlineStr">
        <is>
          <t>No</t>
        </is>
      </c>
      <c r="B606" s="20" t="inlineStr">
        <is>
          <t>【入力】材料名（リストから選ぶ）</t>
        </is>
      </c>
      <c r="C606" s="20" t="inlineStr">
        <is>
          <t>【入力】使用量</t>
        </is>
      </c>
      <c r="D606" s="20" t="inlineStr">
        <is>
          <t>単位［自動］</t>
        </is>
      </c>
      <c r="E606" s="20" t="inlineStr">
        <is>
          <t>単価（税抜・円/単位）［自動］</t>
        </is>
      </c>
      <c r="F606" s="20" t="inlineStr">
        <is>
          <t>原価（円）［自動］</t>
        </is>
      </c>
      <c r="G606" s="20" t="inlineStr">
        <is>
          <t>チェック［自動］</t>
        </is>
      </c>
    </row>
    <row r="607">
      <c r="A607" s="7" t="n">
        <v>1</v>
      </c>
      <c r="B607" s="8" t="n"/>
      <c r="C607" s="11" t="n"/>
      <c r="D607" s="14">
        <f>IF(B607="","",IFERROR(VLOOKUP(B607,'材料マスタ'!$B$5:$L$104,7,FALSE)&amp;"",""))</f>
        <v/>
      </c>
      <c r="E607" s="13">
        <f>IF(B607="","",IFERROR(VLOOKUP(B607,'材料マスタ'!$B$5:$L$104,11,FALSE),""))</f>
        <v/>
      </c>
      <c r="F607" s="12">
        <f>IF(OR(B607="",C607=""),"",IFERROR(ROUND(C607*E607,2),""))</f>
        <v/>
      </c>
      <c r="G607" s="14">
        <f>IF(B607="","",IFERROR(IF(VLOOKUP(B607,'材料マスタ'!$B$5:$L$104,11,FALSE)="","材料マスタを確認",IF(C607="","使用量を入力","OK")),"未登録の材料"))</f>
        <v/>
      </c>
    </row>
    <row r="608">
      <c r="A608" s="7" t="n">
        <v>2</v>
      </c>
      <c r="B608" s="8" t="n"/>
      <c r="C608" s="11" t="n"/>
      <c r="D608" s="14">
        <f>IF(B608="","",IFERROR(VLOOKUP(B608,'材料マスタ'!$B$5:$L$104,7,FALSE)&amp;"",""))</f>
        <v/>
      </c>
      <c r="E608" s="13">
        <f>IF(B608="","",IFERROR(VLOOKUP(B608,'材料マスタ'!$B$5:$L$104,11,FALSE),""))</f>
        <v/>
      </c>
      <c r="F608" s="12">
        <f>IF(OR(B608="",C608=""),"",IFERROR(ROUND(C608*E608,2),""))</f>
        <v/>
      </c>
      <c r="G608" s="14">
        <f>IF(B608="","",IFERROR(IF(VLOOKUP(B608,'材料マスタ'!$B$5:$L$104,11,FALSE)="","材料マスタを確認",IF(C608="","使用量を入力","OK")),"未登録の材料"))</f>
        <v/>
      </c>
    </row>
    <row r="609">
      <c r="A609" s="7" t="n">
        <v>3</v>
      </c>
      <c r="B609" s="8" t="n"/>
      <c r="C609" s="11" t="n"/>
      <c r="D609" s="14">
        <f>IF(B609="","",IFERROR(VLOOKUP(B609,'材料マスタ'!$B$5:$L$104,7,FALSE)&amp;"",""))</f>
        <v/>
      </c>
      <c r="E609" s="13">
        <f>IF(B609="","",IFERROR(VLOOKUP(B609,'材料マスタ'!$B$5:$L$104,11,FALSE),""))</f>
        <v/>
      </c>
      <c r="F609" s="12">
        <f>IF(OR(B609="",C609=""),"",IFERROR(ROUND(C609*E609,2),""))</f>
        <v/>
      </c>
      <c r="G609" s="14">
        <f>IF(B609="","",IFERROR(IF(VLOOKUP(B609,'材料マスタ'!$B$5:$L$104,11,FALSE)="","材料マスタを確認",IF(C609="","使用量を入力","OK")),"未登録の材料"))</f>
        <v/>
      </c>
    </row>
    <row r="610">
      <c r="A610" s="7" t="n">
        <v>4</v>
      </c>
      <c r="B610" s="8" t="n"/>
      <c r="C610" s="11" t="n"/>
      <c r="D610" s="14">
        <f>IF(B610="","",IFERROR(VLOOKUP(B610,'材料マスタ'!$B$5:$L$104,7,FALSE)&amp;"",""))</f>
        <v/>
      </c>
      <c r="E610" s="13">
        <f>IF(B610="","",IFERROR(VLOOKUP(B610,'材料マスタ'!$B$5:$L$104,11,FALSE),""))</f>
        <v/>
      </c>
      <c r="F610" s="12">
        <f>IF(OR(B610="",C610=""),"",IFERROR(ROUND(C610*E610,2),""))</f>
        <v/>
      </c>
      <c r="G610" s="14">
        <f>IF(B610="","",IFERROR(IF(VLOOKUP(B610,'材料マスタ'!$B$5:$L$104,11,FALSE)="","材料マスタを確認",IF(C610="","使用量を入力","OK")),"未登録の材料"))</f>
        <v/>
      </c>
    </row>
    <row r="611">
      <c r="A611" s="7" t="n">
        <v>5</v>
      </c>
      <c r="B611" s="8" t="n"/>
      <c r="C611" s="11" t="n"/>
      <c r="D611" s="14">
        <f>IF(B611="","",IFERROR(VLOOKUP(B611,'材料マスタ'!$B$5:$L$104,7,FALSE)&amp;"",""))</f>
        <v/>
      </c>
      <c r="E611" s="13">
        <f>IF(B611="","",IFERROR(VLOOKUP(B611,'材料マスタ'!$B$5:$L$104,11,FALSE),""))</f>
        <v/>
      </c>
      <c r="F611" s="12">
        <f>IF(OR(B611="",C611=""),"",IFERROR(ROUND(C611*E611,2),""))</f>
        <v/>
      </c>
      <c r="G611" s="14">
        <f>IF(B611="","",IFERROR(IF(VLOOKUP(B611,'材料マスタ'!$B$5:$L$104,11,FALSE)="","材料マスタを確認",IF(C611="","使用量を入力","OK")),"未登録の材料"))</f>
        <v/>
      </c>
    </row>
    <row r="612">
      <c r="A612" s="7" t="n">
        <v>6</v>
      </c>
      <c r="B612" s="8" t="n"/>
      <c r="C612" s="11" t="n"/>
      <c r="D612" s="14">
        <f>IF(B612="","",IFERROR(VLOOKUP(B612,'材料マスタ'!$B$5:$L$104,7,FALSE)&amp;"",""))</f>
        <v/>
      </c>
      <c r="E612" s="13">
        <f>IF(B612="","",IFERROR(VLOOKUP(B612,'材料マスタ'!$B$5:$L$104,11,FALSE),""))</f>
        <v/>
      </c>
      <c r="F612" s="12">
        <f>IF(OR(B612="",C612=""),"",IFERROR(ROUND(C612*E612,2),""))</f>
        <v/>
      </c>
      <c r="G612" s="14">
        <f>IF(B612="","",IFERROR(IF(VLOOKUP(B612,'材料マスタ'!$B$5:$L$104,11,FALSE)="","材料マスタを確認",IF(C612="","使用量を入力","OK")),"未登録の材料"))</f>
        <v/>
      </c>
    </row>
    <row r="613">
      <c r="A613" s="7" t="n">
        <v>7</v>
      </c>
      <c r="B613" s="8" t="n"/>
      <c r="C613" s="11" t="n"/>
      <c r="D613" s="14">
        <f>IF(B613="","",IFERROR(VLOOKUP(B613,'材料マスタ'!$B$5:$L$104,7,FALSE)&amp;"",""))</f>
        <v/>
      </c>
      <c r="E613" s="13">
        <f>IF(B613="","",IFERROR(VLOOKUP(B613,'材料マスタ'!$B$5:$L$104,11,FALSE),""))</f>
        <v/>
      </c>
      <c r="F613" s="12">
        <f>IF(OR(B613="",C613=""),"",IFERROR(ROUND(C613*E613,2),""))</f>
        <v/>
      </c>
      <c r="G613" s="14">
        <f>IF(B613="","",IFERROR(IF(VLOOKUP(B613,'材料マスタ'!$B$5:$L$104,11,FALSE)="","材料マスタを確認",IF(C613="","使用量を入力","OK")),"未登録の材料"))</f>
        <v/>
      </c>
    </row>
    <row r="614">
      <c r="A614" s="7" t="n">
        <v>8</v>
      </c>
      <c r="B614" s="8" t="n"/>
      <c r="C614" s="11" t="n"/>
      <c r="D614" s="14">
        <f>IF(B614="","",IFERROR(VLOOKUP(B614,'材料マスタ'!$B$5:$L$104,7,FALSE)&amp;"",""))</f>
        <v/>
      </c>
      <c r="E614" s="13">
        <f>IF(B614="","",IFERROR(VLOOKUP(B614,'材料マスタ'!$B$5:$L$104,11,FALSE),""))</f>
        <v/>
      </c>
      <c r="F614" s="12">
        <f>IF(OR(B614="",C614=""),"",IFERROR(ROUND(C614*E614,2),""))</f>
        <v/>
      </c>
      <c r="G614" s="14">
        <f>IF(B614="","",IFERROR(IF(VLOOKUP(B614,'材料マスタ'!$B$5:$L$104,11,FALSE)="","材料マスタを確認",IF(C614="","使用量を入力","OK")),"未登録の材料"))</f>
        <v/>
      </c>
    </row>
    <row r="615">
      <c r="A615" s="7" t="n">
        <v>9</v>
      </c>
      <c r="B615" s="8" t="n"/>
      <c r="C615" s="11" t="n"/>
      <c r="D615" s="14">
        <f>IF(B615="","",IFERROR(VLOOKUP(B615,'材料マスタ'!$B$5:$L$104,7,FALSE)&amp;"",""))</f>
        <v/>
      </c>
      <c r="E615" s="13">
        <f>IF(B615="","",IFERROR(VLOOKUP(B615,'材料マスタ'!$B$5:$L$104,11,FALSE),""))</f>
        <v/>
      </c>
      <c r="F615" s="12">
        <f>IF(OR(B615="",C615=""),"",IFERROR(ROUND(C615*E615,2),""))</f>
        <v/>
      </c>
      <c r="G615" s="14">
        <f>IF(B615="","",IFERROR(IF(VLOOKUP(B615,'材料マスタ'!$B$5:$L$104,11,FALSE)="","材料マスタを確認",IF(C615="","使用量を入力","OK")),"未登録の材料"))</f>
        <v/>
      </c>
    </row>
    <row r="616">
      <c r="A616" s="7" t="n">
        <v>10</v>
      </c>
      <c r="B616" s="8" t="n"/>
      <c r="C616" s="11" t="n"/>
      <c r="D616" s="14">
        <f>IF(B616="","",IFERROR(VLOOKUP(B616,'材料マスタ'!$B$5:$L$104,7,FALSE)&amp;"",""))</f>
        <v/>
      </c>
      <c r="E616" s="13">
        <f>IF(B616="","",IFERROR(VLOOKUP(B616,'材料マスタ'!$B$5:$L$104,11,FALSE),""))</f>
        <v/>
      </c>
      <c r="F616" s="12">
        <f>IF(OR(B616="",C616=""),"",IFERROR(ROUND(C616*E616,2),""))</f>
        <v/>
      </c>
      <c r="G616" s="14">
        <f>IF(B616="","",IFERROR(IF(VLOOKUP(B616,'材料マスタ'!$B$5:$L$104,11,FALSE)="","材料マスタを確認",IF(C616="","使用量を入力","OK")),"未登録の材料"))</f>
        <v/>
      </c>
    </row>
    <row r="617">
      <c r="A617" s="7" t="n">
        <v>11</v>
      </c>
      <c r="B617" s="8" t="n"/>
      <c r="C617" s="11" t="n"/>
      <c r="D617" s="14">
        <f>IF(B617="","",IFERROR(VLOOKUP(B617,'材料マスタ'!$B$5:$L$104,7,FALSE)&amp;"",""))</f>
        <v/>
      </c>
      <c r="E617" s="13">
        <f>IF(B617="","",IFERROR(VLOOKUP(B617,'材料マスタ'!$B$5:$L$104,11,FALSE),""))</f>
        <v/>
      </c>
      <c r="F617" s="12">
        <f>IF(OR(B617="",C617=""),"",IFERROR(ROUND(C617*E617,2),""))</f>
        <v/>
      </c>
      <c r="G617" s="14">
        <f>IF(B617="","",IFERROR(IF(VLOOKUP(B617,'材料マスタ'!$B$5:$L$104,11,FALSE)="","材料マスタを確認",IF(C617="","使用量を入力","OK")),"未登録の材料"))</f>
        <v/>
      </c>
    </row>
    <row r="618">
      <c r="A618" s="7" t="n">
        <v>12</v>
      </c>
      <c r="B618" s="8" t="n"/>
      <c r="C618" s="11" t="n"/>
      <c r="D618" s="14">
        <f>IF(B618="","",IFERROR(VLOOKUP(B618,'材料マスタ'!$B$5:$L$104,7,FALSE)&amp;"",""))</f>
        <v/>
      </c>
      <c r="E618" s="13">
        <f>IF(B618="","",IFERROR(VLOOKUP(B618,'材料マスタ'!$B$5:$L$104,11,FALSE),""))</f>
        <v/>
      </c>
      <c r="F618" s="12">
        <f>IF(OR(B618="",C618=""),"",IFERROR(ROUND(C618*E618,2),""))</f>
        <v/>
      </c>
      <c r="G618" s="14">
        <f>IF(B618="","",IFERROR(IF(VLOOKUP(B618,'材料マスタ'!$B$5:$L$104,11,FALSE)="","材料マスタを確認",IF(C618="","使用量を入力","OK")),"未登録の材料"))</f>
        <v/>
      </c>
    </row>
    <row r="619">
      <c r="A619" s="7" t="n">
        <v>13</v>
      </c>
      <c r="B619" s="8" t="n"/>
      <c r="C619" s="11" t="n"/>
      <c r="D619" s="14">
        <f>IF(B619="","",IFERROR(VLOOKUP(B619,'材料マスタ'!$B$5:$L$104,7,FALSE)&amp;"",""))</f>
        <v/>
      </c>
      <c r="E619" s="13">
        <f>IF(B619="","",IFERROR(VLOOKUP(B619,'材料マスタ'!$B$5:$L$104,11,FALSE),""))</f>
        <v/>
      </c>
      <c r="F619" s="12">
        <f>IF(OR(B619="",C619=""),"",IFERROR(ROUND(C619*E619,2),""))</f>
        <v/>
      </c>
      <c r="G619" s="14">
        <f>IF(B619="","",IFERROR(IF(VLOOKUP(B619,'材料マスタ'!$B$5:$L$104,11,FALSE)="","材料マスタを確認",IF(C619="","使用量を入力","OK")),"未登録の材料"))</f>
        <v/>
      </c>
    </row>
    <row r="620">
      <c r="A620" s="7" t="n">
        <v>14</v>
      </c>
      <c r="B620" s="8" t="n"/>
      <c r="C620" s="11" t="n"/>
      <c r="D620" s="14">
        <f>IF(B620="","",IFERROR(VLOOKUP(B620,'材料マスタ'!$B$5:$L$104,7,FALSE)&amp;"",""))</f>
        <v/>
      </c>
      <c r="E620" s="13">
        <f>IF(B620="","",IFERROR(VLOOKUP(B620,'材料マスタ'!$B$5:$L$104,11,FALSE),""))</f>
        <v/>
      </c>
      <c r="F620" s="12">
        <f>IF(OR(B620="",C620=""),"",IFERROR(ROUND(C620*E620,2),""))</f>
        <v/>
      </c>
      <c r="G620" s="14">
        <f>IF(B620="","",IFERROR(IF(VLOOKUP(B620,'材料マスタ'!$B$5:$L$104,11,FALSE)="","材料マスタを確認",IF(C620="","使用量を入力","OK")),"未登録の材料"))</f>
        <v/>
      </c>
    </row>
    <row r="621">
      <c r="A621" s="7" t="n">
        <v>15</v>
      </c>
      <c r="B621" s="8" t="n"/>
      <c r="C621" s="11" t="n"/>
      <c r="D621" s="14">
        <f>IF(B621="","",IFERROR(VLOOKUP(B621,'材料マスタ'!$B$5:$L$104,7,FALSE)&amp;"",""))</f>
        <v/>
      </c>
      <c r="E621" s="13">
        <f>IF(B621="","",IFERROR(VLOOKUP(B621,'材料マスタ'!$B$5:$L$104,11,FALSE),""))</f>
        <v/>
      </c>
      <c r="F621" s="12">
        <f>IF(OR(B621="",C621=""),"",IFERROR(ROUND(C621*E621,2),""))</f>
        <v/>
      </c>
      <c r="G621" s="14">
        <f>IF(B621="","",IFERROR(IF(VLOOKUP(B621,'材料マスタ'!$B$5:$L$104,11,FALSE)="","材料マスタを確認",IF(C621="","使用量を入力","OK")),"未登録の材料"))</f>
        <v/>
      </c>
    </row>
    <row r="622">
      <c r="B622" s="21" t="inlineStr">
        <is>
          <t>合計原価（税抜・円）</t>
        </is>
      </c>
      <c r="C622" s="22">
        <f>SUM(F607:F621)</f>
        <v/>
      </c>
    </row>
    <row r="623">
      <c r="B623" s="23" t="inlineStr">
        <is>
          <t>目標原価率（適用値）</t>
        </is>
      </c>
      <c r="C623" s="24">
        <f>IF(E605="",'設定'!$C$4,IF(E605&gt;1,E605/100,E605))</f>
        <v/>
      </c>
    </row>
    <row r="624">
      <c r="B624" s="23" t="inlineStr">
        <is>
          <t>売価の税率（適用値）</t>
        </is>
      </c>
      <c r="C624" s="25">
        <f>IF(G605="",'設定'!$C$5,IF(G605&gt;=1,G605/100,G605))</f>
        <v/>
      </c>
    </row>
    <row r="625">
      <c r="B625" s="23" t="inlineStr">
        <is>
          <t>税抜売価（円）</t>
        </is>
      </c>
      <c r="C625" s="22">
        <f>IF(C605="","",IFERROR(ROUND(C605/(1+C624),2),""))</f>
        <v/>
      </c>
    </row>
    <row r="626">
      <c r="B626" s="21" t="inlineStr">
        <is>
          <t>原価率</t>
        </is>
      </c>
      <c r="C626" s="26">
        <f>IFERROR(IF(OR(C625="",C625=0),"",ROUND(C622/C625,4)),"")</f>
        <v/>
      </c>
      <c r="D626" s="7" t="inlineStr">
        <is>
          <t>判定［自動］</t>
        </is>
      </c>
      <c r="E626" s="27">
        <f>IF(C626="",IF(C604="","","売価を入力"),IF(C626&gt;C623,"超過","目標内"))</f>
        <v/>
      </c>
    </row>
    <row r="627">
      <c r="B627" s="23" t="inlineStr">
        <is>
          <t>目標との差（＋は目標超過）</t>
        </is>
      </c>
      <c r="C627" s="28">
        <f>IF(C626="","",ROUND(C626-C623,4))</f>
        <v/>
      </c>
    </row>
    <row r="628" ht="30" customHeight="1">
      <c r="B628" s="21" t="inlineStr">
        <is>
          <t>推奨売価（税込・円／目標原価率から逆算、10円単位で切り上げ）</t>
        </is>
      </c>
      <c r="C628" s="29">
        <f>IFERROR(IF(OR(C622=0,C623=0),"",ROUNDUP(ROUND(C622/C623*(1+C624),2)/10,0)*10),"")</f>
        <v/>
      </c>
    </row>
    <row r="629">
      <c r="A629" s="15" t="inlineStr">
        <is>
          <t>メニュー26</t>
        </is>
      </c>
      <c r="B629" s="16" t="inlineStr">
        <is>
          <t>【入力】メニュー名</t>
        </is>
      </c>
      <c r="C629" s="8" t="n"/>
      <c r="D629" s="17" t="n"/>
      <c r="E629" s="17" t="n"/>
      <c r="F629" s="17" t="n"/>
      <c r="G629" s="18" t="n"/>
    </row>
    <row r="630">
      <c r="B630" s="7" t="inlineStr">
        <is>
          <t>【入力】販売価格（税込・円）</t>
        </is>
      </c>
      <c r="C630" s="9" t="n"/>
      <c r="D630" s="19" t="inlineStr">
        <is>
          <t>【入力】目標原価率（空欄=設定値）</t>
        </is>
      </c>
      <c r="E630" s="10" t="n"/>
      <c r="F630" s="19" t="inlineStr">
        <is>
          <t>【入力】売価の税率（空欄=設定値）</t>
        </is>
      </c>
      <c r="G630" s="10" t="n"/>
    </row>
    <row r="631" ht="32" customHeight="1">
      <c r="A631" s="20" t="inlineStr">
        <is>
          <t>No</t>
        </is>
      </c>
      <c r="B631" s="20" t="inlineStr">
        <is>
          <t>【入力】材料名（リストから選ぶ）</t>
        </is>
      </c>
      <c r="C631" s="20" t="inlineStr">
        <is>
          <t>【入力】使用量</t>
        </is>
      </c>
      <c r="D631" s="20" t="inlineStr">
        <is>
          <t>単位［自動］</t>
        </is>
      </c>
      <c r="E631" s="20" t="inlineStr">
        <is>
          <t>単価（税抜・円/単位）［自動］</t>
        </is>
      </c>
      <c r="F631" s="20" t="inlineStr">
        <is>
          <t>原価（円）［自動］</t>
        </is>
      </c>
      <c r="G631" s="20" t="inlineStr">
        <is>
          <t>チェック［自動］</t>
        </is>
      </c>
    </row>
    <row r="632">
      <c r="A632" s="7" t="n">
        <v>1</v>
      </c>
      <c r="B632" s="8" t="n"/>
      <c r="C632" s="11" t="n"/>
      <c r="D632" s="14">
        <f>IF(B632="","",IFERROR(VLOOKUP(B632,'材料マスタ'!$B$5:$L$104,7,FALSE)&amp;"",""))</f>
        <v/>
      </c>
      <c r="E632" s="13">
        <f>IF(B632="","",IFERROR(VLOOKUP(B632,'材料マスタ'!$B$5:$L$104,11,FALSE),""))</f>
        <v/>
      </c>
      <c r="F632" s="12">
        <f>IF(OR(B632="",C632=""),"",IFERROR(ROUND(C632*E632,2),""))</f>
        <v/>
      </c>
      <c r="G632" s="14">
        <f>IF(B632="","",IFERROR(IF(VLOOKUP(B632,'材料マスタ'!$B$5:$L$104,11,FALSE)="","材料マスタを確認",IF(C632="","使用量を入力","OK")),"未登録の材料"))</f>
        <v/>
      </c>
    </row>
    <row r="633">
      <c r="A633" s="7" t="n">
        <v>2</v>
      </c>
      <c r="B633" s="8" t="n"/>
      <c r="C633" s="11" t="n"/>
      <c r="D633" s="14">
        <f>IF(B633="","",IFERROR(VLOOKUP(B633,'材料マスタ'!$B$5:$L$104,7,FALSE)&amp;"",""))</f>
        <v/>
      </c>
      <c r="E633" s="13">
        <f>IF(B633="","",IFERROR(VLOOKUP(B633,'材料マスタ'!$B$5:$L$104,11,FALSE),""))</f>
        <v/>
      </c>
      <c r="F633" s="12">
        <f>IF(OR(B633="",C633=""),"",IFERROR(ROUND(C633*E633,2),""))</f>
        <v/>
      </c>
      <c r="G633" s="14">
        <f>IF(B633="","",IFERROR(IF(VLOOKUP(B633,'材料マスタ'!$B$5:$L$104,11,FALSE)="","材料マスタを確認",IF(C633="","使用量を入力","OK")),"未登録の材料"))</f>
        <v/>
      </c>
    </row>
    <row r="634">
      <c r="A634" s="7" t="n">
        <v>3</v>
      </c>
      <c r="B634" s="8" t="n"/>
      <c r="C634" s="11" t="n"/>
      <c r="D634" s="14">
        <f>IF(B634="","",IFERROR(VLOOKUP(B634,'材料マスタ'!$B$5:$L$104,7,FALSE)&amp;"",""))</f>
        <v/>
      </c>
      <c r="E634" s="13">
        <f>IF(B634="","",IFERROR(VLOOKUP(B634,'材料マスタ'!$B$5:$L$104,11,FALSE),""))</f>
        <v/>
      </c>
      <c r="F634" s="12">
        <f>IF(OR(B634="",C634=""),"",IFERROR(ROUND(C634*E634,2),""))</f>
        <v/>
      </c>
      <c r="G634" s="14">
        <f>IF(B634="","",IFERROR(IF(VLOOKUP(B634,'材料マスタ'!$B$5:$L$104,11,FALSE)="","材料マスタを確認",IF(C634="","使用量を入力","OK")),"未登録の材料"))</f>
        <v/>
      </c>
    </row>
    <row r="635">
      <c r="A635" s="7" t="n">
        <v>4</v>
      </c>
      <c r="B635" s="8" t="n"/>
      <c r="C635" s="11" t="n"/>
      <c r="D635" s="14">
        <f>IF(B635="","",IFERROR(VLOOKUP(B635,'材料マスタ'!$B$5:$L$104,7,FALSE)&amp;"",""))</f>
        <v/>
      </c>
      <c r="E635" s="13">
        <f>IF(B635="","",IFERROR(VLOOKUP(B635,'材料マスタ'!$B$5:$L$104,11,FALSE),""))</f>
        <v/>
      </c>
      <c r="F635" s="12">
        <f>IF(OR(B635="",C635=""),"",IFERROR(ROUND(C635*E635,2),""))</f>
        <v/>
      </c>
      <c r="G635" s="14">
        <f>IF(B635="","",IFERROR(IF(VLOOKUP(B635,'材料マスタ'!$B$5:$L$104,11,FALSE)="","材料マスタを確認",IF(C635="","使用量を入力","OK")),"未登録の材料"))</f>
        <v/>
      </c>
    </row>
    <row r="636">
      <c r="A636" s="7" t="n">
        <v>5</v>
      </c>
      <c r="B636" s="8" t="n"/>
      <c r="C636" s="11" t="n"/>
      <c r="D636" s="14">
        <f>IF(B636="","",IFERROR(VLOOKUP(B636,'材料マスタ'!$B$5:$L$104,7,FALSE)&amp;"",""))</f>
        <v/>
      </c>
      <c r="E636" s="13">
        <f>IF(B636="","",IFERROR(VLOOKUP(B636,'材料マスタ'!$B$5:$L$104,11,FALSE),""))</f>
        <v/>
      </c>
      <c r="F636" s="12">
        <f>IF(OR(B636="",C636=""),"",IFERROR(ROUND(C636*E636,2),""))</f>
        <v/>
      </c>
      <c r="G636" s="14">
        <f>IF(B636="","",IFERROR(IF(VLOOKUP(B636,'材料マスタ'!$B$5:$L$104,11,FALSE)="","材料マスタを確認",IF(C636="","使用量を入力","OK")),"未登録の材料"))</f>
        <v/>
      </c>
    </row>
    <row r="637">
      <c r="A637" s="7" t="n">
        <v>6</v>
      </c>
      <c r="B637" s="8" t="n"/>
      <c r="C637" s="11" t="n"/>
      <c r="D637" s="14">
        <f>IF(B637="","",IFERROR(VLOOKUP(B637,'材料マスタ'!$B$5:$L$104,7,FALSE)&amp;"",""))</f>
        <v/>
      </c>
      <c r="E637" s="13">
        <f>IF(B637="","",IFERROR(VLOOKUP(B637,'材料マスタ'!$B$5:$L$104,11,FALSE),""))</f>
        <v/>
      </c>
      <c r="F637" s="12">
        <f>IF(OR(B637="",C637=""),"",IFERROR(ROUND(C637*E637,2),""))</f>
        <v/>
      </c>
      <c r="G637" s="14">
        <f>IF(B637="","",IFERROR(IF(VLOOKUP(B637,'材料マスタ'!$B$5:$L$104,11,FALSE)="","材料マスタを確認",IF(C637="","使用量を入力","OK")),"未登録の材料"))</f>
        <v/>
      </c>
    </row>
    <row r="638">
      <c r="A638" s="7" t="n">
        <v>7</v>
      </c>
      <c r="B638" s="8" t="n"/>
      <c r="C638" s="11" t="n"/>
      <c r="D638" s="14">
        <f>IF(B638="","",IFERROR(VLOOKUP(B638,'材料マスタ'!$B$5:$L$104,7,FALSE)&amp;"",""))</f>
        <v/>
      </c>
      <c r="E638" s="13">
        <f>IF(B638="","",IFERROR(VLOOKUP(B638,'材料マスタ'!$B$5:$L$104,11,FALSE),""))</f>
        <v/>
      </c>
      <c r="F638" s="12">
        <f>IF(OR(B638="",C638=""),"",IFERROR(ROUND(C638*E638,2),""))</f>
        <v/>
      </c>
      <c r="G638" s="14">
        <f>IF(B638="","",IFERROR(IF(VLOOKUP(B638,'材料マスタ'!$B$5:$L$104,11,FALSE)="","材料マスタを確認",IF(C638="","使用量を入力","OK")),"未登録の材料"))</f>
        <v/>
      </c>
    </row>
    <row r="639">
      <c r="A639" s="7" t="n">
        <v>8</v>
      </c>
      <c r="B639" s="8" t="n"/>
      <c r="C639" s="11" t="n"/>
      <c r="D639" s="14">
        <f>IF(B639="","",IFERROR(VLOOKUP(B639,'材料マスタ'!$B$5:$L$104,7,FALSE)&amp;"",""))</f>
        <v/>
      </c>
      <c r="E639" s="13">
        <f>IF(B639="","",IFERROR(VLOOKUP(B639,'材料マスタ'!$B$5:$L$104,11,FALSE),""))</f>
        <v/>
      </c>
      <c r="F639" s="12">
        <f>IF(OR(B639="",C639=""),"",IFERROR(ROUND(C639*E639,2),""))</f>
        <v/>
      </c>
      <c r="G639" s="14">
        <f>IF(B639="","",IFERROR(IF(VLOOKUP(B639,'材料マスタ'!$B$5:$L$104,11,FALSE)="","材料マスタを確認",IF(C639="","使用量を入力","OK")),"未登録の材料"))</f>
        <v/>
      </c>
    </row>
    <row r="640">
      <c r="A640" s="7" t="n">
        <v>9</v>
      </c>
      <c r="B640" s="8" t="n"/>
      <c r="C640" s="11" t="n"/>
      <c r="D640" s="14">
        <f>IF(B640="","",IFERROR(VLOOKUP(B640,'材料マスタ'!$B$5:$L$104,7,FALSE)&amp;"",""))</f>
        <v/>
      </c>
      <c r="E640" s="13">
        <f>IF(B640="","",IFERROR(VLOOKUP(B640,'材料マスタ'!$B$5:$L$104,11,FALSE),""))</f>
        <v/>
      </c>
      <c r="F640" s="12">
        <f>IF(OR(B640="",C640=""),"",IFERROR(ROUND(C640*E640,2),""))</f>
        <v/>
      </c>
      <c r="G640" s="14">
        <f>IF(B640="","",IFERROR(IF(VLOOKUP(B640,'材料マスタ'!$B$5:$L$104,11,FALSE)="","材料マスタを確認",IF(C640="","使用量を入力","OK")),"未登録の材料"))</f>
        <v/>
      </c>
    </row>
    <row r="641">
      <c r="A641" s="7" t="n">
        <v>10</v>
      </c>
      <c r="B641" s="8" t="n"/>
      <c r="C641" s="11" t="n"/>
      <c r="D641" s="14">
        <f>IF(B641="","",IFERROR(VLOOKUP(B641,'材料マスタ'!$B$5:$L$104,7,FALSE)&amp;"",""))</f>
        <v/>
      </c>
      <c r="E641" s="13">
        <f>IF(B641="","",IFERROR(VLOOKUP(B641,'材料マスタ'!$B$5:$L$104,11,FALSE),""))</f>
        <v/>
      </c>
      <c r="F641" s="12">
        <f>IF(OR(B641="",C641=""),"",IFERROR(ROUND(C641*E641,2),""))</f>
        <v/>
      </c>
      <c r="G641" s="14">
        <f>IF(B641="","",IFERROR(IF(VLOOKUP(B641,'材料マスタ'!$B$5:$L$104,11,FALSE)="","材料マスタを確認",IF(C641="","使用量を入力","OK")),"未登録の材料"))</f>
        <v/>
      </c>
    </row>
    <row r="642">
      <c r="A642" s="7" t="n">
        <v>11</v>
      </c>
      <c r="B642" s="8" t="n"/>
      <c r="C642" s="11" t="n"/>
      <c r="D642" s="14">
        <f>IF(B642="","",IFERROR(VLOOKUP(B642,'材料マスタ'!$B$5:$L$104,7,FALSE)&amp;"",""))</f>
        <v/>
      </c>
      <c r="E642" s="13">
        <f>IF(B642="","",IFERROR(VLOOKUP(B642,'材料マスタ'!$B$5:$L$104,11,FALSE),""))</f>
        <v/>
      </c>
      <c r="F642" s="12">
        <f>IF(OR(B642="",C642=""),"",IFERROR(ROUND(C642*E642,2),""))</f>
        <v/>
      </c>
      <c r="G642" s="14">
        <f>IF(B642="","",IFERROR(IF(VLOOKUP(B642,'材料マスタ'!$B$5:$L$104,11,FALSE)="","材料マスタを確認",IF(C642="","使用量を入力","OK")),"未登録の材料"))</f>
        <v/>
      </c>
    </row>
    <row r="643">
      <c r="A643" s="7" t="n">
        <v>12</v>
      </c>
      <c r="B643" s="8" t="n"/>
      <c r="C643" s="11" t="n"/>
      <c r="D643" s="14">
        <f>IF(B643="","",IFERROR(VLOOKUP(B643,'材料マスタ'!$B$5:$L$104,7,FALSE)&amp;"",""))</f>
        <v/>
      </c>
      <c r="E643" s="13">
        <f>IF(B643="","",IFERROR(VLOOKUP(B643,'材料マスタ'!$B$5:$L$104,11,FALSE),""))</f>
        <v/>
      </c>
      <c r="F643" s="12">
        <f>IF(OR(B643="",C643=""),"",IFERROR(ROUND(C643*E643,2),""))</f>
        <v/>
      </c>
      <c r="G643" s="14">
        <f>IF(B643="","",IFERROR(IF(VLOOKUP(B643,'材料マスタ'!$B$5:$L$104,11,FALSE)="","材料マスタを確認",IF(C643="","使用量を入力","OK")),"未登録の材料"))</f>
        <v/>
      </c>
    </row>
    <row r="644">
      <c r="A644" s="7" t="n">
        <v>13</v>
      </c>
      <c r="B644" s="8" t="n"/>
      <c r="C644" s="11" t="n"/>
      <c r="D644" s="14">
        <f>IF(B644="","",IFERROR(VLOOKUP(B644,'材料マスタ'!$B$5:$L$104,7,FALSE)&amp;"",""))</f>
        <v/>
      </c>
      <c r="E644" s="13">
        <f>IF(B644="","",IFERROR(VLOOKUP(B644,'材料マスタ'!$B$5:$L$104,11,FALSE),""))</f>
        <v/>
      </c>
      <c r="F644" s="12">
        <f>IF(OR(B644="",C644=""),"",IFERROR(ROUND(C644*E644,2),""))</f>
        <v/>
      </c>
      <c r="G644" s="14">
        <f>IF(B644="","",IFERROR(IF(VLOOKUP(B644,'材料マスタ'!$B$5:$L$104,11,FALSE)="","材料マスタを確認",IF(C644="","使用量を入力","OK")),"未登録の材料"))</f>
        <v/>
      </c>
    </row>
    <row r="645">
      <c r="A645" s="7" t="n">
        <v>14</v>
      </c>
      <c r="B645" s="8" t="n"/>
      <c r="C645" s="11" t="n"/>
      <c r="D645" s="14">
        <f>IF(B645="","",IFERROR(VLOOKUP(B645,'材料マスタ'!$B$5:$L$104,7,FALSE)&amp;"",""))</f>
        <v/>
      </c>
      <c r="E645" s="13">
        <f>IF(B645="","",IFERROR(VLOOKUP(B645,'材料マスタ'!$B$5:$L$104,11,FALSE),""))</f>
        <v/>
      </c>
      <c r="F645" s="12">
        <f>IF(OR(B645="",C645=""),"",IFERROR(ROUND(C645*E645,2),""))</f>
        <v/>
      </c>
      <c r="G645" s="14">
        <f>IF(B645="","",IFERROR(IF(VLOOKUP(B645,'材料マスタ'!$B$5:$L$104,11,FALSE)="","材料マスタを確認",IF(C645="","使用量を入力","OK")),"未登録の材料"))</f>
        <v/>
      </c>
    </row>
    <row r="646">
      <c r="A646" s="7" t="n">
        <v>15</v>
      </c>
      <c r="B646" s="8" t="n"/>
      <c r="C646" s="11" t="n"/>
      <c r="D646" s="14">
        <f>IF(B646="","",IFERROR(VLOOKUP(B646,'材料マスタ'!$B$5:$L$104,7,FALSE)&amp;"",""))</f>
        <v/>
      </c>
      <c r="E646" s="13">
        <f>IF(B646="","",IFERROR(VLOOKUP(B646,'材料マスタ'!$B$5:$L$104,11,FALSE),""))</f>
        <v/>
      </c>
      <c r="F646" s="12">
        <f>IF(OR(B646="",C646=""),"",IFERROR(ROUND(C646*E646,2),""))</f>
        <v/>
      </c>
      <c r="G646" s="14">
        <f>IF(B646="","",IFERROR(IF(VLOOKUP(B646,'材料マスタ'!$B$5:$L$104,11,FALSE)="","材料マスタを確認",IF(C646="","使用量を入力","OK")),"未登録の材料"))</f>
        <v/>
      </c>
    </row>
    <row r="647">
      <c r="B647" s="21" t="inlineStr">
        <is>
          <t>合計原価（税抜・円）</t>
        </is>
      </c>
      <c r="C647" s="22">
        <f>SUM(F632:F646)</f>
        <v/>
      </c>
    </row>
    <row r="648">
      <c r="B648" s="23" t="inlineStr">
        <is>
          <t>目標原価率（適用値）</t>
        </is>
      </c>
      <c r="C648" s="24">
        <f>IF(E630="",'設定'!$C$4,IF(E630&gt;1,E630/100,E630))</f>
        <v/>
      </c>
    </row>
    <row r="649">
      <c r="B649" s="23" t="inlineStr">
        <is>
          <t>売価の税率（適用値）</t>
        </is>
      </c>
      <c r="C649" s="25">
        <f>IF(G630="",'設定'!$C$5,IF(G630&gt;=1,G630/100,G630))</f>
        <v/>
      </c>
    </row>
    <row r="650">
      <c r="B650" s="23" t="inlineStr">
        <is>
          <t>税抜売価（円）</t>
        </is>
      </c>
      <c r="C650" s="22">
        <f>IF(C630="","",IFERROR(ROUND(C630/(1+C649),2),""))</f>
        <v/>
      </c>
    </row>
    <row r="651">
      <c r="B651" s="21" t="inlineStr">
        <is>
          <t>原価率</t>
        </is>
      </c>
      <c r="C651" s="26">
        <f>IFERROR(IF(OR(C650="",C650=0),"",ROUND(C647/C650,4)),"")</f>
        <v/>
      </c>
      <c r="D651" s="7" t="inlineStr">
        <is>
          <t>判定［自動］</t>
        </is>
      </c>
      <c r="E651" s="27">
        <f>IF(C651="",IF(C629="","","売価を入力"),IF(C651&gt;C648,"超過","目標内"))</f>
        <v/>
      </c>
    </row>
    <row r="652">
      <c r="B652" s="23" t="inlineStr">
        <is>
          <t>目標との差（＋は目標超過）</t>
        </is>
      </c>
      <c r="C652" s="28">
        <f>IF(C651="","",ROUND(C651-C648,4))</f>
        <v/>
      </c>
    </row>
    <row r="653" ht="30" customHeight="1">
      <c r="B653" s="21" t="inlineStr">
        <is>
          <t>推奨売価（税込・円／目標原価率から逆算、10円単位で切り上げ）</t>
        </is>
      </c>
      <c r="C653" s="29">
        <f>IFERROR(IF(OR(C647=0,C648=0),"",ROUNDUP(ROUND(C647/C648*(1+C649),2)/10,0)*10),"")</f>
        <v/>
      </c>
    </row>
    <row r="654">
      <c r="A654" s="15" t="inlineStr">
        <is>
          <t>メニュー27</t>
        </is>
      </c>
      <c r="B654" s="16" t="inlineStr">
        <is>
          <t>【入力】メニュー名</t>
        </is>
      </c>
      <c r="C654" s="8" t="n"/>
      <c r="D654" s="17" t="n"/>
      <c r="E654" s="17" t="n"/>
      <c r="F654" s="17" t="n"/>
      <c r="G654" s="18" t="n"/>
    </row>
    <row r="655">
      <c r="B655" s="7" t="inlineStr">
        <is>
          <t>【入力】販売価格（税込・円）</t>
        </is>
      </c>
      <c r="C655" s="9" t="n"/>
      <c r="D655" s="19" t="inlineStr">
        <is>
          <t>【入力】目標原価率（空欄=設定値）</t>
        </is>
      </c>
      <c r="E655" s="10" t="n"/>
      <c r="F655" s="19" t="inlineStr">
        <is>
          <t>【入力】売価の税率（空欄=設定値）</t>
        </is>
      </c>
      <c r="G655" s="10" t="n"/>
    </row>
    <row r="656" ht="32" customHeight="1">
      <c r="A656" s="20" t="inlineStr">
        <is>
          <t>No</t>
        </is>
      </c>
      <c r="B656" s="20" t="inlineStr">
        <is>
          <t>【入力】材料名（リストから選ぶ）</t>
        </is>
      </c>
      <c r="C656" s="20" t="inlineStr">
        <is>
          <t>【入力】使用量</t>
        </is>
      </c>
      <c r="D656" s="20" t="inlineStr">
        <is>
          <t>単位［自動］</t>
        </is>
      </c>
      <c r="E656" s="20" t="inlineStr">
        <is>
          <t>単価（税抜・円/単位）［自動］</t>
        </is>
      </c>
      <c r="F656" s="20" t="inlineStr">
        <is>
          <t>原価（円）［自動］</t>
        </is>
      </c>
      <c r="G656" s="20" t="inlineStr">
        <is>
          <t>チェック［自動］</t>
        </is>
      </c>
    </row>
    <row r="657">
      <c r="A657" s="7" t="n">
        <v>1</v>
      </c>
      <c r="B657" s="8" t="n"/>
      <c r="C657" s="11" t="n"/>
      <c r="D657" s="14">
        <f>IF(B657="","",IFERROR(VLOOKUP(B657,'材料マスタ'!$B$5:$L$104,7,FALSE)&amp;"",""))</f>
        <v/>
      </c>
      <c r="E657" s="13">
        <f>IF(B657="","",IFERROR(VLOOKUP(B657,'材料マスタ'!$B$5:$L$104,11,FALSE),""))</f>
        <v/>
      </c>
      <c r="F657" s="12">
        <f>IF(OR(B657="",C657=""),"",IFERROR(ROUND(C657*E657,2),""))</f>
        <v/>
      </c>
      <c r="G657" s="14">
        <f>IF(B657="","",IFERROR(IF(VLOOKUP(B657,'材料マスタ'!$B$5:$L$104,11,FALSE)="","材料マスタを確認",IF(C657="","使用量を入力","OK")),"未登録の材料"))</f>
        <v/>
      </c>
    </row>
    <row r="658">
      <c r="A658" s="7" t="n">
        <v>2</v>
      </c>
      <c r="B658" s="8" t="n"/>
      <c r="C658" s="11" t="n"/>
      <c r="D658" s="14">
        <f>IF(B658="","",IFERROR(VLOOKUP(B658,'材料マスタ'!$B$5:$L$104,7,FALSE)&amp;"",""))</f>
        <v/>
      </c>
      <c r="E658" s="13">
        <f>IF(B658="","",IFERROR(VLOOKUP(B658,'材料マスタ'!$B$5:$L$104,11,FALSE),""))</f>
        <v/>
      </c>
      <c r="F658" s="12">
        <f>IF(OR(B658="",C658=""),"",IFERROR(ROUND(C658*E658,2),""))</f>
        <v/>
      </c>
      <c r="G658" s="14">
        <f>IF(B658="","",IFERROR(IF(VLOOKUP(B658,'材料マスタ'!$B$5:$L$104,11,FALSE)="","材料マスタを確認",IF(C658="","使用量を入力","OK")),"未登録の材料"))</f>
        <v/>
      </c>
    </row>
    <row r="659">
      <c r="A659" s="7" t="n">
        <v>3</v>
      </c>
      <c r="B659" s="8" t="n"/>
      <c r="C659" s="11" t="n"/>
      <c r="D659" s="14">
        <f>IF(B659="","",IFERROR(VLOOKUP(B659,'材料マスタ'!$B$5:$L$104,7,FALSE)&amp;"",""))</f>
        <v/>
      </c>
      <c r="E659" s="13">
        <f>IF(B659="","",IFERROR(VLOOKUP(B659,'材料マスタ'!$B$5:$L$104,11,FALSE),""))</f>
        <v/>
      </c>
      <c r="F659" s="12">
        <f>IF(OR(B659="",C659=""),"",IFERROR(ROUND(C659*E659,2),""))</f>
        <v/>
      </c>
      <c r="G659" s="14">
        <f>IF(B659="","",IFERROR(IF(VLOOKUP(B659,'材料マスタ'!$B$5:$L$104,11,FALSE)="","材料マスタを確認",IF(C659="","使用量を入力","OK")),"未登録の材料"))</f>
        <v/>
      </c>
    </row>
    <row r="660">
      <c r="A660" s="7" t="n">
        <v>4</v>
      </c>
      <c r="B660" s="8" t="n"/>
      <c r="C660" s="11" t="n"/>
      <c r="D660" s="14">
        <f>IF(B660="","",IFERROR(VLOOKUP(B660,'材料マスタ'!$B$5:$L$104,7,FALSE)&amp;"",""))</f>
        <v/>
      </c>
      <c r="E660" s="13">
        <f>IF(B660="","",IFERROR(VLOOKUP(B660,'材料マスタ'!$B$5:$L$104,11,FALSE),""))</f>
        <v/>
      </c>
      <c r="F660" s="12">
        <f>IF(OR(B660="",C660=""),"",IFERROR(ROUND(C660*E660,2),""))</f>
        <v/>
      </c>
      <c r="G660" s="14">
        <f>IF(B660="","",IFERROR(IF(VLOOKUP(B660,'材料マスタ'!$B$5:$L$104,11,FALSE)="","材料マスタを確認",IF(C660="","使用量を入力","OK")),"未登録の材料"))</f>
        <v/>
      </c>
    </row>
    <row r="661">
      <c r="A661" s="7" t="n">
        <v>5</v>
      </c>
      <c r="B661" s="8" t="n"/>
      <c r="C661" s="11" t="n"/>
      <c r="D661" s="14">
        <f>IF(B661="","",IFERROR(VLOOKUP(B661,'材料マスタ'!$B$5:$L$104,7,FALSE)&amp;"",""))</f>
        <v/>
      </c>
      <c r="E661" s="13">
        <f>IF(B661="","",IFERROR(VLOOKUP(B661,'材料マスタ'!$B$5:$L$104,11,FALSE),""))</f>
        <v/>
      </c>
      <c r="F661" s="12">
        <f>IF(OR(B661="",C661=""),"",IFERROR(ROUND(C661*E661,2),""))</f>
        <v/>
      </c>
      <c r="G661" s="14">
        <f>IF(B661="","",IFERROR(IF(VLOOKUP(B661,'材料マスタ'!$B$5:$L$104,11,FALSE)="","材料マスタを確認",IF(C661="","使用量を入力","OK")),"未登録の材料"))</f>
        <v/>
      </c>
    </row>
    <row r="662">
      <c r="A662" s="7" t="n">
        <v>6</v>
      </c>
      <c r="B662" s="8" t="n"/>
      <c r="C662" s="11" t="n"/>
      <c r="D662" s="14">
        <f>IF(B662="","",IFERROR(VLOOKUP(B662,'材料マスタ'!$B$5:$L$104,7,FALSE)&amp;"",""))</f>
        <v/>
      </c>
      <c r="E662" s="13">
        <f>IF(B662="","",IFERROR(VLOOKUP(B662,'材料マスタ'!$B$5:$L$104,11,FALSE),""))</f>
        <v/>
      </c>
      <c r="F662" s="12">
        <f>IF(OR(B662="",C662=""),"",IFERROR(ROUND(C662*E662,2),""))</f>
        <v/>
      </c>
      <c r="G662" s="14">
        <f>IF(B662="","",IFERROR(IF(VLOOKUP(B662,'材料マスタ'!$B$5:$L$104,11,FALSE)="","材料マスタを確認",IF(C662="","使用量を入力","OK")),"未登録の材料"))</f>
        <v/>
      </c>
    </row>
    <row r="663">
      <c r="A663" s="7" t="n">
        <v>7</v>
      </c>
      <c r="B663" s="8" t="n"/>
      <c r="C663" s="11" t="n"/>
      <c r="D663" s="14">
        <f>IF(B663="","",IFERROR(VLOOKUP(B663,'材料マスタ'!$B$5:$L$104,7,FALSE)&amp;"",""))</f>
        <v/>
      </c>
      <c r="E663" s="13">
        <f>IF(B663="","",IFERROR(VLOOKUP(B663,'材料マスタ'!$B$5:$L$104,11,FALSE),""))</f>
        <v/>
      </c>
      <c r="F663" s="12">
        <f>IF(OR(B663="",C663=""),"",IFERROR(ROUND(C663*E663,2),""))</f>
        <v/>
      </c>
      <c r="G663" s="14">
        <f>IF(B663="","",IFERROR(IF(VLOOKUP(B663,'材料マスタ'!$B$5:$L$104,11,FALSE)="","材料マスタを確認",IF(C663="","使用量を入力","OK")),"未登録の材料"))</f>
        <v/>
      </c>
    </row>
    <row r="664">
      <c r="A664" s="7" t="n">
        <v>8</v>
      </c>
      <c r="B664" s="8" t="n"/>
      <c r="C664" s="11" t="n"/>
      <c r="D664" s="14">
        <f>IF(B664="","",IFERROR(VLOOKUP(B664,'材料マスタ'!$B$5:$L$104,7,FALSE)&amp;"",""))</f>
        <v/>
      </c>
      <c r="E664" s="13">
        <f>IF(B664="","",IFERROR(VLOOKUP(B664,'材料マスタ'!$B$5:$L$104,11,FALSE),""))</f>
        <v/>
      </c>
      <c r="F664" s="12">
        <f>IF(OR(B664="",C664=""),"",IFERROR(ROUND(C664*E664,2),""))</f>
        <v/>
      </c>
      <c r="G664" s="14">
        <f>IF(B664="","",IFERROR(IF(VLOOKUP(B664,'材料マスタ'!$B$5:$L$104,11,FALSE)="","材料マスタを確認",IF(C664="","使用量を入力","OK")),"未登録の材料"))</f>
        <v/>
      </c>
    </row>
    <row r="665">
      <c r="A665" s="7" t="n">
        <v>9</v>
      </c>
      <c r="B665" s="8" t="n"/>
      <c r="C665" s="11" t="n"/>
      <c r="D665" s="14">
        <f>IF(B665="","",IFERROR(VLOOKUP(B665,'材料マスタ'!$B$5:$L$104,7,FALSE)&amp;"",""))</f>
        <v/>
      </c>
      <c r="E665" s="13">
        <f>IF(B665="","",IFERROR(VLOOKUP(B665,'材料マスタ'!$B$5:$L$104,11,FALSE),""))</f>
        <v/>
      </c>
      <c r="F665" s="12">
        <f>IF(OR(B665="",C665=""),"",IFERROR(ROUND(C665*E665,2),""))</f>
        <v/>
      </c>
      <c r="G665" s="14">
        <f>IF(B665="","",IFERROR(IF(VLOOKUP(B665,'材料マスタ'!$B$5:$L$104,11,FALSE)="","材料マスタを確認",IF(C665="","使用量を入力","OK")),"未登録の材料"))</f>
        <v/>
      </c>
    </row>
    <row r="666">
      <c r="A666" s="7" t="n">
        <v>10</v>
      </c>
      <c r="B666" s="8" t="n"/>
      <c r="C666" s="11" t="n"/>
      <c r="D666" s="14">
        <f>IF(B666="","",IFERROR(VLOOKUP(B666,'材料マスタ'!$B$5:$L$104,7,FALSE)&amp;"",""))</f>
        <v/>
      </c>
      <c r="E666" s="13">
        <f>IF(B666="","",IFERROR(VLOOKUP(B666,'材料マスタ'!$B$5:$L$104,11,FALSE),""))</f>
        <v/>
      </c>
      <c r="F666" s="12">
        <f>IF(OR(B666="",C666=""),"",IFERROR(ROUND(C666*E666,2),""))</f>
        <v/>
      </c>
      <c r="G666" s="14">
        <f>IF(B666="","",IFERROR(IF(VLOOKUP(B666,'材料マスタ'!$B$5:$L$104,11,FALSE)="","材料マスタを確認",IF(C666="","使用量を入力","OK")),"未登録の材料"))</f>
        <v/>
      </c>
    </row>
    <row r="667">
      <c r="A667" s="7" t="n">
        <v>11</v>
      </c>
      <c r="B667" s="8" t="n"/>
      <c r="C667" s="11" t="n"/>
      <c r="D667" s="14">
        <f>IF(B667="","",IFERROR(VLOOKUP(B667,'材料マスタ'!$B$5:$L$104,7,FALSE)&amp;"",""))</f>
        <v/>
      </c>
      <c r="E667" s="13">
        <f>IF(B667="","",IFERROR(VLOOKUP(B667,'材料マスタ'!$B$5:$L$104,11,FALSE),""))</f>
        <v/>
      </c>
      <c r="F667" s="12">
        <f>IF(OR(B667="",C667=""),"",IFERROR(ROUND(C667*E667,2),""))</f>
        <v/>
      </c>
      <c r="G667" s="14">
        <f>IF(B667="","",IFERROR(IF(VLOOKUP(B667,'材料マスタ'!$B$5:$L$104,11,FALSE)="","材料マスタを確認",IF(C667="","使用量を入力","OK")),"未登録の材料"))</f>
        <v/>
      </c>
    </row>
    <row r="668">
      <c r="A668" s="7" t="n">
        <v>12</v>
      </c>
      <c r="B668" s="8" t="n"/>
      <c r="C668" s="11" t="n"/>
      <c r="D668" s="14">
        <f>IF(B668="","",IFERROR(VLOOKUP(B668,'材料マスタ'!$B$5:$L$104,7,FALSE)&amp;"",""))</f>
        <v/>
      </c>
      <c r="E668" s="13">
        <f>IF(B668="","",IFERROR(VLOOKUP(B668,'材料マスタ'!$B$5:$L$104,11,FALSE),""))</f>
        <v/>
      </c>
      <c r="F668" s="12">
        <f>IF(OR(B668="",C668=""),"",IFERROR(ROUND(C668*E668,2),""))</f>
        <v/>
      </c>
      <c r="G668" s="14">
        <f>IF(B668="","",IFERROR(IF(VLOOKUP(B668,'材料マスタ'!$B$5:$L$104,11,FALSE)="","材料マスタを確認",IF(C668="","使用量を入力","OK")),"未登録の材料"))</f>
        <v/>
      </c>
    </row>
    <row r="669">
      <c r="A669" s="7" t="n">
        <v>13</v>
      </c>
      <c r="B669" s="8" t="n"/>
      <c r="C669" s="11" t="n"/>
      <c r="D669" s="14">
        <f>IF(B669="","",IFERROR(VLOOKUP(B669,'材料マスタ'!$B$5:$L$104,7,FALSE)&amp;"",""))</f>
        <v/>
      </c>
      <c r="E669" s="13">
        <f>IF(B669="","",IFERROR(VLOOKUP(B669,'材料マスタ'!$B$5:$L$104,11,FALSE),""))</f>
        <v/>
      </c>
      <c r="F669" s="12">
        <f>IF(OR(B669="",C669=""),"",IFERROR(ROUND(C669*E669,2),""))</f>
        <v/>
      </c>
      <c r="G669" s="14">
        <f>IF(B669="","",IFERROR(IF(VLOOKUP(B669,'材料マスタ'!$B$5:$L$104,11,FALSE)="","材料マスタを確認",IF(C669="","使用量を入力","OK")),"未登録の材料"))</f>
        <v/>
      </c>
    </row>
    <row r="670">
      <c r="A670" s="7" t="n">
        <v>14</v>
      </c>
      <c r="B670" s="8" t="n"/>
      <c r="C670" s="11" t="n"/>
      <c r="D670" s="14">
        <f>IF(B670="","",IFERROR(VLOOKUP(B670,'材料マスタ'!$B$5:$L$104,7,FALSE)&amp;"",""))</f>
        <v/>
      </c>
      <c r="E670" s="13">
        <f>IF(B670="","",IFERROR(VLOOKUP(B670,'材料マスタ'!$B$5:$L$104,11,FALSE),""))</f>
        <v/>
      </c>
      <c r="F670" s="12">
        <f>IF(OR(B670="",C670=""),"",IFERROR(ROUND(C670*E670,2),""))</f>
        <v/>
      </c>
      <c r="G670" s="14">
        <f>IF(B670="","",IFERROR(IF(VLOOKUP(B670,'材料マスタ'!$B$5:$L$104,11,FALSE)="","材料マスタを確認",IF(C670="","使用量を入力","OK")),"未登録の材料"))</f>
        <v/>
      </c>
    </row>
    <row r="671">
      <c r="A671" s="7" t="n">
        <v>15</v>
      </c>
      <c r="B671" s="8" t="n"/>
      <c r="C671" s="11" t="n"/>
      <c r="D671" s="14">
        <f>IF(B671="","",IFERROR(VLOOKUP(B671,'材料マスタ'!$B$5:$L$104,7,FALSE)&amp;"",""))</f>
        <v/>
      </c>
      <c r="E671" s="13">
        <f>IF(B671="","",IFERROR(VLOOKUP(B671,'材料マスタ'!$B$5:$L$104,11,FALSE),""))</f>
        <v/>
      </c>
      <c r="F671" s="12">
        <f>IF(OR(B671="",C671=""),"",IFERROR(ROUND(C671*E671,2),""))</f>
        <v/>
      </c>
      <c r="G671" s="14">
        <f>IF(B671="","",IFERROR(IF(VLOOKUP(B671,'材料マスタ'!$B$5:$L$104,11,FALSE)="","材料マスタを確認",IF(C671="","使用量を入力","OK")),"未登録の材料"))</f>
        <v/>
      </c>
    </row>
    <row r="672">
      <c r="B672" s="21" t="inlineStr">
        <is>
          <t>合計原価（税抜・円）</t>
        </is>
      </c>
      <c r="C672" s="22">
        <f>SUM(F657:F671)</f>
        <v/>
      </c>
    </row>
    <row r="673">
      <c r="B673" s="23" t="inlineStr">
        <is>
          <t>目標原価率（適用値）</t>
        </is>
      </c>
      <c r="C673" s="24">
        <f>IF(E655="",'設定'!$C$4,IF(E655&gt;1,E655/100,E655))</f>
        <v/>
      </c>
    </row>
    <row r="674">
      <c r="B674" s="23" t="inlineStr">
        <is>
          <t>売価の税率（適用値）</t>
        </is>
      </c>
      <c r="C674" s="25">
        <f>IF(G655="",'設定'!$C$5,IF(G655&gt;=1,G655/100,G655))</f>
        <v/>
      </c>
    </row>
    <row r="675">
      <c r="B675" s="23" t="inlineStr">
        <is>
          <t>税抜売価（円）</t>
        </is>
      </c>
      <c r="C675" s="22">
        <f>IF(C655="","",IFERROR(ROUND(C655/(1+C674),2),""))</f>
        <v/>
      </c>
    </row>
    <row r="676">
      <c r="B676" s="21" t="inlineStr">
        <is>
          <t>原価率</t>
        </is>
      </c>
      <c r="C676" s="26">
        <f>IFERROR(IF(OR(C675="",C675=0),"",ROUND(C672/C675,4)),"")</f>
        <v/>
      </c>
      <c r="D676" s="7" t="inlineStr">
        <is>
          <t>判定［自動］</t>
        </is>
      </c>
      <c r="E676" s="27">
        <f>IF(C676="",IF(C654="","","売価を入力"),IF(C676&gt;C673,"超過","目標内"))</f>
        <v/>
      </c>
    </row>
    <row r="677">
      <c r="B677" s="23" t="inlineStr">
        <is>
          <t>目標との差（＋は目標超過）</t>
        </is>
      </c>
      <c r="C677" s="28">
        <f>IF(C676="","",ROUND(C676-C673,4))</f>
        <v/>
      </c>
    </row>
    <row r="678" ht="30" customHeight="1">
      <c r="B678" s="21" t="inlineStr">
        <is>
          <t>推奨売価（税込・円／目標原価率から逆算、10円単位で切り上げ）</t>
        </is>
      </c>
      <c r="C678" s="29">
        <f>IFERROR(IF(OR(C672=0,C673=0),"",ROUNDUP(ROUND(C672/C673*(1+C674),2)/10,0)*10),"")</f>
        <v/>
      </c>
    </row>
    <row r="679">
      <c r="A679" s="15" t="inlineStr">
        <is>
          <t>メニュー28</t>
        </is>
      </c>
      <c r="B679" s="16" t="inlineStr">
        <is>
          <t>【入力】メニュー名</t>
        </is>
      </c>
      <c r="C679" s="8" t="n"/>
      <c r="D679" s="17" t="n"/>
      <c r="E679" s="17" t="n"/>
      <c r="F679" s="17" t="n"/>
      <c r="G679" s="18" t="n"/>
    </row>
    <row r="680">
      <c r="B680" s="7" t="inlineStr">
        <is>
          <t>【入力】販売価格（税込・円）</t>
        </is>
      </c>
      <c r="C680" s="9" t="n"/>
      <c r="D680" s="19" t="inlineStr">
        <is>
          <t>【入力】目標原価率（空欄=設定値）</t>
        </is>
      </c>
      <c r="E680" s="10" t="n"/>
      <c r="F680" s="19" t="inlineStr">
        <is>
          <t>【入力】売価の税率（空欄=設定値）</t>
        </is>
      </c>
      <c r="G680" s="10" t="n"/>
    </row>
    <row r="681" ht="32" customHeight="1">
      <c r="A681" s="20" t="inlineStr">
        <is>
          <t>No</t>
        </is>
      </c>
      <c r="B681" s="20" t="inlineStr">
        <is>
          <t>【入力】材料名（リストから選ぶ）</t>
        </is>
      </c>
      <c r="C681" s="20" t="inlineStr">
        <is>
          <t>【入力】使用量</t>
        </is>
      </c>
      <c r="D681" s="20" t="inlineStr">
        <is>
          <t>単位［自動］</t>
        </is>
      </c>
      <c r="E681" s="20" t="inlineStr">
        <is>
          <t>単価（税抜・円/単位）［自動］</t>
        </is>
      </c>
      <c r="F681" s="20" t="inlineStr">
        <is>
          <t>原価（円）［自動］</t>
        </is>
      </c>
      <c r="G681" s="20" t="inlineStr">
        <is>
          <t>チェック［自動］</t>
        </is>
      </c>
    </row>
    <row r="682">
      <c r="A682" s="7" t="n">
        <v>1</v>
      </c>
      <c r="B682" s="8" t="n"/>
      <c r="C682" s="11" t="n"/>
      <c r="D682" s="14">
        <f>IF(B682="","",IFERROR(VLOOKUP(B682,'材料マスタ'!$B$5:$L$104,7,FALSE)&amp;"",""))</f>
        <v/>
      </c>
      <c r="E682" s="13">
        <f>IF(B682="","",IFERROR(VLOOKUP(B682,'材料マスタ'!$B$5:$L$104,11,FALSE),""))</f>
        <v/>
      </c>
      <c r="F682" s="12">
        <f>IF(OR(B682="",C682=""),"",IFERROR(ROUND(C682*E682,2),""))</f>
        <v/>
      </c>
      <c r="G682" s="14">
        <f>IF(B682="","",IFERROR(IF(VLOOKUP(B682,'材料マスタ'!$B$5:$L$104,11,FALSE)="","材料マスタを確認",IF(C682="","使用量を入力","OK")),"未登録の材料"))</f>
        <v/>
      </c>
    </row>
    <row r="683">
      <c r="A683" s="7" t="n">
        <v>2</v>
      </c>
      <c r="B683" s="8" t="n"/>
      <c r="C683" s="11" t="n"/>
      <c r="D683" s="14">
        <f>IF(B683="","",IFERROR(VLOOKUP(B683,'材料マスタ'!$B$5:$L$104,7,FALSE)&amp;"",""))</f>
        <v/>
      </c>
      <c r="E683" s="13">
        <f>IF(B683="","",IFERROR(VLOOKUP(B683,'材料マスタ'!$B$5:$L$104,11,FALSE),""))</f>
        <v/>
      </c>
      <c r="F683" s="12">
        <f>IF(OR(B683="",C683=""),"",IFERROR(ROUND(C683*E683,2),""))</f>
        <v/>
      </c>
      <c r="G683" s="14">
        <f>IF(B683="","",IFERROR(IF(VLOOKUP(B683,'材料マスタ'!$B$5:$L$104,11,FALSE)="","材料マスタを確認",IF(C683="","使用量を入力","OK")),"未登録の材料"))</f>
        <v/>
      </c>
    </row>
    <row r="684">
      <c r="A684" s="7" t="n">
        <v>3</v>
      </c>
      <c r="B684" s="8" t="n"/>
      <c r="C684" s="11" t="n"/>
      <c r="D684" s="14">
        <f>IF(B684="","",IFERROR(VLOOKUP(B684,'材料マスタ'!$B$5:$L$104,7,FALSE)&amp;"",""))</f>
        <v/>
      </c>
      <c r="E684" s="13">
        <f>IF(B684="","",IFERROR(VLOOKUP(B684,'材料マスタ'!$B$5:$L$104,11,FALSE),""))</f>
        <v/>
      </c>
      <c r="F684" s="12">
        <f>IF(OR(B684="",C684=""),"",IFERROR(ROUND(C684*E684,2),""))</f>
        <v/>
      </c>
      <c r="G684" s="14">
        <f>IF(B684="","",IFERROR(IF(VLOOKUP(B684,'材料マスタ'!$B$5:$L$104,11,FALSE)="","材料マスタを確認",IF(C684="","使用量を入力","OK")),"未登録の材料"))</f>
        <v/>
      </c>
    </row>
    <row r="685">
      <c r="A685" s="7" t="n">
        <v>4</v>
      </c>
      <c r="B685" s="8" t="n"/>
      <c r="C685" s="11" t="n"/>
      <c r="D685" s="14">
        <f>IF(B685="","",IFERROR(VLOOKUP(B685,'材料マスタ'!$B$5:$L$104,7,FALSE)&amp;"",""))</f>
        <v/>
      </c>
      <c r="E685" s="13">
        <f>IF(B685="","",IFERROR(VLOOKUP(B685,'材料マスタ'!$B$5:$L$104,11,FALSE),""))</f>
        <v/>
      </c>
      <c r="F685" s="12">
        <f>IF(OR(B685="",C685=""),"",IFERROR(ROUND(C685*E685,2),""))</f>
        <v/>
      </c>
      <c r="G685" s="14">
        <f>IF(B685="","",IFERROR(IF(VLOOKUP(B685,'材料マスタ'!$B$5:$L$104,11,FALSE)="","材料マスタを確認",IF(C685="","使用量を入力","OK")),"未登録の材料"))</f>
        <v/>
      </c>
    </row>
    <row r="686">
      <c r="A686" s="7" t="n">
        <v>5</v>
      </c>
      <c r="B686" s="8" t="n"/>
      <c r="C686" s="11" t="n"/>
      <c r="D686" s="14">
        <f>IF(B686="","",IFERROR(VLOOKUP(B686,'材料マスタ'!$B$5:$L$104,7,FALSE)&amp;"",""))</f>
        <v/>
      </c>
      <c r="E686" s="13">
        <f>IF(B686="","",IFERROR(VLOOKUP(B686,'材料マスタ'!$B$5:$L$104,11,FALSE),""))</f>
        <v/>
      </c>
      <c r="F686" s="12">
        <f>IF(OR(B686="",C686=""),"",IFERROR(ROUND(C686*E686,2),""))</f>
        <v/>
      </c>
      <c r="G686" s="14">
        <f>IF(B686="","",IFERROR(IF(VLOOKUP(B686,'材料マスタ'!$B$5:$L$104,11,FALSE)="","材料マスタを確認",IF(C686="","使用量を入力","OK")),"未登録の材料"))</f>
        <v/>
      </c>
    </row>
    <row r="687">
      <c r="A687" s="7" t="n">
        <v>6</v>
      </c>
      <c r="B687" s="8" t="n"/>
      <c r="C687" s="11" t="n"/>
      <c r="D687" s="14">
        <f>IF(B687="","",IFERROR(VLOOKUP(B687,'材料マスタ'!$B$5:$L$104,7,FALSE)&amp;"",""))</f>
        <v/>
      </c>
      <c r="E687" s="13">
        <f>IF(B687="","",IFERROR(VLOOKUP(B687,'材料マスタ'!$B$5:$L$104,11,FALSE),""))</f>
        <v/>
      </c>
      <c r="F687" s="12">
        <f>IF(OR(B687="",C687=""),"",IFERROR(ROUND(C687*E687,2),""))</f>
        <v/>
      </c>
      <c r="G687" s="14">
        <f>IF(B687="","",IFERROR(IF(VLOOKUP(B687,'材料マスタ'!$B$5:$L$104,11,FALSE)="","材料マスタを確認",IF(C687="","使用量を入力","OK")),"未登録の材料"))</f>
        <v/>
      </c>
    </row>
    <row r="688">
      <c r="A688" s="7" t="n">
        <v>7</v>
      </c>
      <c r="B688" s="8" t="n"/>
      <c r="C688" s="11" t="n"/>
      <c r="D688" s="14">
        <f>IF(B688="","",IFERROR(VLOOKUP(B688,'材料マスタ'!$B$5:$L$104,7,FALSE)&amp;"",""))</f>
        <v/>
      </c>
      <c r="E688" s="13">
        <f>IF(B688="","",IFERROR(VLOOKUP(B688,'材料マスタ'!$B$5:$L$104,11,FALSE),""))</f>
        <v/>
      </c>
      <c r="F688" s="12">
        <f>IF(OR(B688="",C688=""),"",IFERROR(ROUND(C688*E688,2),""))</f>
        <v/>
      </c>
      <c r="G688" s="14">
        <f>IF(B688="","",IFERROR(IF(VLOOKUP(B688,'材料マスタ'!$B$5:$L$104,11,FALSE)="","材料マスタを確認",IF(C688="","使用量を入力","OK")),"未登録の材料"))</f>
        <v/>
      </c>
    </row>
    <row r="689">
      <c r="A689" s="7" t="n">
        <v>8</v>
      </c>
      <c r="B689" s="8" t="n"/>
      <c r="C689" s="11" t="n"/>
      <c r="D689" s="14">
        <f>IF(B689="","",IFERROR(VLOOKUP(B689,'材料マスタ'!$B$5:$L$104,7,FALSE)&amp;"",""))</f>
        <v/>
      </c>
      <c r="E689" s="13">
        <f>IF(B689="","",IFERROR(VLOOKUP(B689,'材料マスタ'!$B$5:$L$104,11,FALSE),""))</f>
        <v/>
      </c>
      <c r="F689" s="12">
        <f>IF(OR(B689="",C689=""),"",IFERROR(ROUND(C689*E689,2),""))</f>
        <v/>
      </c>
      <c r="G689" s="14">
        <f>IF(B689="","",IFERROR(IF(VLOOKUP(B689,'材料マスタ'!$B$5:$L$104,11,FALSE)="","材料マスタを確認",IF(C689="","使用量を入力","OK")),"未登録の材料"))</f>
        <v/>
      </c>
    </row>
    <row r="690">
      <c r="A690" s="7" t="n">
        <v>9</v>
      </c>
      <c r="B690" s="8" t="n"/>
      <c r="C690" s="11" t="n"/>
      <c r="D690" s="14">
        <f>IF(B690="","",IFERROR(VLOOKUP(B690,'材料マスタ'!$B$5:$L$104,7,FALSE)&amp;"",""))</f>
        <v/>
      </c>
      <c r="E690" s="13">
        <f>IF(B690="","",IFERROR(VLOOKUP(B690,'材料マスタ'!$B$5:$L$104,11,FALSE),""))</f>
        <v/>
      </c>
      <c r="F690" s="12">
        <f>IF(OR(B690="",C690=""),"",IFERROR(ROUND(C690*E690,2),""))</f>
        <v/>
      </c>
      <c r="G690" s="14">
        <f>IF(B690="","",IFERROR(IF(VLOOKUP(B690,'材料マスタ'!$B$5:$L$104,11,FALSE)="","材料マスタを確認",IF(C690="","使用量を入力","OK")),"未登録の材料"))</f>
        <v/>
      </c>
    </row>
    <row r="691">
      <c r="A691" s="7" t="n">
        <v>10</v>
      </c>
      <c r="B691" s="8" t="n"/>
      <c r="C691" s="11" t="n"/>
      <c r="D691" s="14">
        <f>IF(B691="","",IFERROR(VLOOKUP(B691,'材料マスタ'!$B$5:$L$104,7,FALSE)&amp;"",""))</f>
        <v/>
      </c>
      <c r="E691" s="13">
        <f>IF(B691="","",IFERROR(VLOOKUP(B691,'材料マスタ'!$B$5:$L$104,11,FALSE),""))</f>
        <v/>
      </c>
      <c r="F691" s="12">
        <f>IF(OR(B691="",C691=""),"",IFERROR(ROUND(C691*E691,2),""))</f>
        <v/>
      </c>
      <c r="G691" s="14">
        <f>IF(B691="","",IFERROR(IF(VLOOKUP(B691,'材料マスタ'!$B$5:$L$104,11,FALSE)="","材料マスタを確認",IF(C691="","使用量を入力","OK")),"未登録の材料"))</f>
        <v/>
      </c>
    </row>
    <row r="692">
      <c r="A692" s="7" t="n">
        <v>11</v>
      </c>
      <c r="B692" s="8" t="n"/>
      <c r="C692" s="11" t="n"/>
      <c r="D692" s="14">
        <f>IF(B692="","",IFERROR(VLOOKUP(B692,'材料マスタ'!$B$5:$L$104,7,FALSE)&amp;"",""))</f>
        <v/>
      </c>
      <c r="E692" s="13">
        <f>IF(B692="","",IFERROR(VLOOKUP(B692,'材料マスタ'!$B$5:$L$104,11,FALSE),""))</f>
        <v/>
      </c>
      <c r="F692" s="12">
        <f>IF(OR(B692="",C692=""),"",IFERROR(ROUND(C692*E692,2),""))</f>
        <v/>
      </c>
      <c r="G692" s="14">
        <f>IF(B692="","",IFERROR(IF(VLOOKUP(B692,'材料マスタ'!$B$5:$L$104,11,FALSE)="","材料マスタを確認",IF(C692="","使用量を入力","OK")),"未登録の材料"))</f>
        <v/>
      </c>
    </row>
    <row r="693">
      <c r="A693" s="7" t="n">
        <v>12</v>
      </c>
      <c r="B693" s="8" t="n"/>
      <c r="C693" s="11" t="n"/>
      <c r="D693" s="14">
        <f>IF(B693="","",IFERROR(VLOOKUP(B693,'材料マスタ'!$B$5:$L$104,7,FALSE)&amp;"",""))</f>
        <v/>
      </c>
      <c r="E693" s="13">
        <f>IF(B693="","",IFERROR(VLOOKUP(B693,'材料マスタ'!$B$5:$L$104,11,FALSE),""))</f>
        <v/>
      </c>
      <c r="F693" s="12">
        <f>IF(OR(B693="",C693=""),"",IFERROR(ROUND(C693*E693,2),""))</f>
        <v/>
      </c>
      <c r="G693" s="14">
        <f>IF(B693="","",IFERROR(IF(VLOOKUP(B693,'材料マスタ'!$B$5:$L$104,11,FALSE)="","材料マスタを確認",IF(C693="","使用量を入力","OK")),"未登録の材料"))</f>
        <v/>
      </c>
    </row>
    <row r="694">
      <c r="A694" s="7" t="n">
        <v>13</v>
      </c>
      <c r="B694" s="8" t="n"/>
      <c r="C694" s="11" t="n"/>
      <c r="D694" s="14">
        <f>IF(B694="","",IFERROR(VLOOKUP(B694,'材料マスタ'!$B$5:$L$104,7,FALSE)&amp;"",""))</f>
        <v/>
      </c>
      <c r="E694" s="13">
        <f>IF(B694="","",IFERROR(VLOOKUP(B694,'材料マスタ'!$B$5:$L$104,11,FALSE),""))</f>
        <v/>
      </c>
      <c r="F694" s="12">
        <f>IF(OR(B694="",C694=""),"",IFERROR(ROUND(C694*E694,2),""))</f>
        <v/>
      </c>
      <c r="G694" s="14">
        <f>IF(B694="","",IFERROR(IF(VLOOKUP(B694,'材料マスタ'!$B$5:$L$104,11,FALSE)="","材料マスタを確認",IF(C694="","使用量を入力","OK")),"未登録の材料"))</f>
        <v/>
      </c>
    </row>
    <row r="695">
      <c r="A695" s="7" t="n">
        <v>14</v>
      </c>
      <c r="B695" s="8" t="n"/>
      <c r="C695" s="11" t="n"/>
      <c r="D695" s="14">
        <f>IF(B695="","",IFERROR(VLOOKUP(B695,'材料マスタ'!$B$5:$L$104,7,FALSE)&amp;"",""))</f>
        <v/>
      </c>
      <c r="E695" s="13">
        <f>IF(B695="","",IFERROR(VLOOKUP(B695,'材料マスタ'!$B$5:$L$104,11,FALSE),""))</f>
        <v/>
      </c>
      <c r="F695" s="12">
        <f>IF(OR(B695="",C695=""),"",IFERROR(ROUND(C695*E695,2),""))</f>
        <v/>
      </c>
      <c r="G695" s="14">
        <f>IF(B695="","",IFERROR(IF(VLOOKUP(B695,'材料マスタ'!$B$5:$L$104,11,FALSE)="","材料マスタを確認",IF(C695="","使用量を入力","OK")),"未登録の材料"))</f>
        <v/>
      </c>
    </row>
    <row r="696">
      <c r="A696" s="7" t="n">
        <v>15</v>
      </c>
      <c r="B696" s="8" t="n"/>
      <c r="C696" s="11" t="n"/>
      <c r="D696" s="14">
        <f>IF(B696="","",IFERROR(VLOOKUP(B696,'材料マスタ'!$B$5:$L$104,7,FALSE)&amp;"",""))</f>
        <v/>
      </c>
      <c r="E696" s="13">
        <f>IF(B696="","",IFERROR(VLOOKUP(B696,'材料マスタ'!$B$5:$L$104,11,FALSE),""))</f>
        <v/>
      </c>
      <c r="F696" s="12">
        <f>IF(OR(B696="",C696=""),"",IFERROR(ROUND(C696*E696,2),""))</f>
        <v/>
      </c>
      <c r="G696" s="14">
        <f>IF(B696="","",IFERROR(IF(VLOOKUP(B696,'材料マスタ'!$B$5:$L$104,11,FALSE)="","材料マスタを確認",IF(C696="","使用量を入力","OK")),"未登録の材料"))</f>
        <v/>
      </c>
    </row>
    <row r="697">
      <c r="B697" s="21" t="inlineStr">
        <is>
          <t>合計原価（税抜・円）</t>
        </is>
      </c>
      <c r="C697" s="22">
        <f>SUM(F682:F696)</f>
        <v/>
      </c>
    </row>
    <row r="698">
      <c r="B698" s="23" t="inlineStr">
        <is>
          <t>目標原価率（適用値）</t>
        </is>
      </c>
      <c r="C698" s="24">
        <f>IF(E680="",'設定'!$C$4,IF(E680&gt;1,E680/100,E680))</f>
        <v/>
      </c>
    </row>
    <row r="699">
      <c r="B699" s="23" t="inlineStr">
        <is>
          <t>売価の税率（適用値）</t>
        </is>
      </c>
      <c r="C699" s="25">
        <f>IF(G680="",'設定'!$C$5,IF(G680&gt;=1,G680/100,G680))</f>
        <v/>
      </c>
    </row>
    <row r="700">
      <c r="B700" s="23" t="inlineStr">
        <is>
          <t>税抜売価（円）</t>
        </is>
      </c>
      <c r="C700" s="22">
        <f>IF(C680="","",IFERROR(ROUND(C680/(1+C699),2),""))</f>
        <v/>
      </c>
    </row>
    <row r="701">
      <c r="B701" s="21" t="inlineStr">
        <is>
          <t>原価率</t>
        </is>
      </c>
      <c r="C701" s="26">
        <f>IFERROR(IF(OR(C700="",C700=0),"",ROUND(C697/C700,4)),"")</f>
        <v/>
      </c>
      <c r="D701" s="7" t="inlineStr">
        <is>
          <t>判定［自動］</t>
        </is>
      </c>
      <c r="E701" s="27">
        <f>IF(C701="",IF(C679="","","売価を入力"),IF(C701&gt;C698,"超過","目標内"))</f>
        <v/>
      </c>
    </row>
    <row r="702">
      <c r="B702" s="23" t="inlineStr">
        <is>
          <t>目標との差（＋は目標超過）</t>
        </is>
      </c>
      <c r="C702" s="28">
        <f>IF(C701="","",ROUND(C701-C698,4))</f>
        <v/>
      </c>
    </row>
    <row r="703" ht="30" customHeight="1">
      <c r="B703" s="21" t="inlineStr">
        <is>
          <t>推奨売価（税込・円／目標原価率から逆算、10円単位で切り上げ）</t>
        </is>
      </c>
      <c r="C703" s="29">
        <f>IFERROR(IF(OR(C697=0,C698=0),"",ROUNDUP(ROUND(C697/C698*(1+C699),2)/10,0)*10),"")</f>
        <v/>
      </c>
    </row>
    <row r="704">
      <c r="A704" s="15" t="inlineStr">
        <is>
          <t>メニュー29</t>
        </is>
      </c>
      <c r="B704" s="16" t="inlineStr">
        <is>
          <t>【入力】メニュー名</t>
        </is>
      </c>
      <c r="C704" s="8" t="n"/>
      <c r="D704" s="17" t="n"/>
      <c r="E704" s="17" t="n"/>
      <c r="F704" s="17" t="n"/>
      <c r="G704" s="18" t="n"/>
    </row>
    <row r="705">
      <c r="B705" s="7" t="inlineStr">
        <is>
          <t>【入力】販売価格（税込・円）</t>
        </is>
      </c>
      <c r="C705" s="9" t="n"/>
      <c r="D705" s="19" t="inlineStr">
        <is>
          <t>【入力】目標原価率（空欄=設定値）</t>
        </is>
      </c>
      <c r="E705" s="10" t="n"/>
      <c r="F705" s="19" t="inlineStr">
        <is>
          <t>【入力】売価の税率（空欄=設定値）</t>
        </is>
      </c>
      <c r="G705" s="10" t="n"/>
    </row>
    <row r="706" ht="32" customHeight="1">
      <c r="A706" s="20" t="inlineStr">
        <is>
          <t>No</t>
        </is>
      </c>
      <c r="B706" s="20" t="inlineStr">
        <is>
          <t>【入力】材料名（リストから選ぶ）</t>
        </is>
      </c>
      <c r="C706" s="20" t="inlineStr">
        <is>
          <t>【入力】使用量</t>
        </is>
      </c>
      <c r="D706" s="20" t="inlineStr">
        <is>
          <t>単位［自動］</t>
        </is>
      </c>
      <c r="E706" s="20" t="inlineStr">
        <is>
          <t>単価（税抜・円/単位）［自動］</t>
        </is>
      </c>
      <c r="F706" s="20" t="inlineStr">
        <is>
          <t>原価（円）［自動］</t>
        </is>
      </c>
      <c r="G706" s="20" t="inlineStr">
        <is>
          <t>チェック［自動］</t>
        </is>
      </c>
    </row>
    <row r="707">
      <c r="A707" s="7" t="n">
        <v>1</v>
      </c>
      <c r="B707" s="8" t="n"/>
      <c r="C707" s="11" t="n"/>
      <c r="D707" s="14">
        <f>IF(B707="","",IFERROR(VLOOKUP(B707,'材料マスタ'!$B$5:$L$104,7,FALSE)&amp;"",""))</f>
        <v/>
      </c>
      <c r="E707" s="13">
        <f>IF(B707="","",IFERROR(VLOOKUP(B707,'材料マスタ'!$B$5:$L$104,11,FALSE),""))</f>
        <v/>
      </c>
      <c r="F707" s="12">
        <f>IF(OR(B707="",C707=""),"",IFERROR(ROUND(C707*E707,2),""))</f>
        <v/>
      </c>
      <c r="G707" s="14">
        <f>IF(B707="","",IFERROR(IF(VLOOKUP(B707,'材料マスタ'!$B$5:$L$104,11,FALSE)="","材料マスタを確認",IF(C707="","使用量を入力","OK")),"未登録の材料"))</f>
        <v/>
      </c>
    </row>
    <row r="708">
      <c r="A708" s="7" t="n">
        <v>2</v>
      </c>
      <c r="B708" s="8" t="n"/>
      <c r="C708" s="11" t="n"/>
      <c r="D708" s="14">
        <f>IF(B708="","",IFERROR(VLOOKUP(B708,'材料マスタ'!$B$5:$L$104,7,FALSE)&amp;"",""))</f>
        <v/>
      </c>
      <c r="E708" s="13">
        <f>IF(B708="","",IFERROR(VLOOKUP(B708,'材料マスタ'!$B$5:$L$104,11,FALSE),""))</f>
        <v/>
      </c>
      <c r="F708" s="12">
        <f>IF(OR(B708="",C708=""),"",IFERROR(ROUND(C708*E708,2),""))</f>
        <v/>
      </c>
      <c r="G708" s="14">
        <f>IF(B708="","",IFERROR(IF(VLOOKUP(B708,'材料マスタ'!$B$5:$L$104,11,FALSE)="","材料マスタを確認",IF(C708="","使用量を入力","OK")),"未登録の材料"))</f>
        <v/>
      </c>
    </row>
    <row r="709">
      <c r="A709" s="7" t="n">
        <v>3</v>
      </c>
      <c r="B709" s="8" t="n"/>
      <c r="C709" s="11" t="n"/>
      <c r="D709" s="14">
        <f>IF(B709="","",IFERROR(VLOOKUP(B709,'材料マスタ'!$B$5:$L$104,7,FALSE)&amp;"",""))</f>
        <v/>
      </c>
      <c r="E709" s="13">
        <f>IF(B709="","",IFERROR(VLOOKUP(B709,'材料マスタ'!$B$5:$L$104,11,FALSE),""))</f>
        <v/>
      </c>
      <c r="F709" s="12">
        <f>IF(OR(B709="",C709=""),"",IFERROR(ROUND(C709*E709,2),""))</f>
        <v/>
      </c>
      <c r="G709" s="14">
        <f>IF(B709="","",IFERROR(IF(VLOOKUP(B709,'材料マスタ'!$B$5:$L$104,11,FALSE)="","材料マスタを確認",IF(C709="","使用量を入力","OK")),"未登録の材料"))</f>
        <v/>
      </c>
    </row>
    <row r="710">
      <c r="A710" s="7" t="n">
        <v>4</v>
      </c>
      <c r="B710" s="8" t="n"/>
      <c r="C710" s="11" t="n"/>
      <c r="D710" s="14">
        <f>IF(B710="","",IFERROR(VLOOKUP(B710,'材料マスタ'!$B$5:$L$104,7,FALSE)&amp;"",""))</f>
        <v/>
      </c>
      <c r="E710" s="13">
        <f>IF(B710="","",IFERROR(VLOOKUP(B710,'材料マスタ'!$B$5:$L$104,11,FALSE),""))</f>
        <v/>
      </c>
      <c r="F710" s="12">
        <f>IF(OR(B710="",C710=""),"",IFERROR(ROUND(C710*E710,2),""))</f>
        <v/>
      </c>
      <c r="G710" s="14">
        <f>IF(B710="","",IFERROR(IF(VLOOKUP(B710,'材料マスタ'!$B$5:$L$104,11,FALSE)="","材料マスタを確認",IF(C710="","使用量を入力","OK")),"未登録の材料"))</f>
        <v/>
      </c>
    </row>
    <row r="711">
      <c r="A711" s="7" t="n">
        <v>5</v>
      </c>
      <c r="B711" s="8" t="n"/>
      <c r="C711" s="11" t="n"/>
      <c r="D711" s="14">
        <f>IF(B711="","",IFERROR(VLOOKUP(B711,'材料マスタ'!$B$5:$L$104,7,FALSE)&amp;"",""))</f>
        <v/>
      </c>
      <c r="E711" s="13">
        <f>IF(B711="","",IFERROR(VLOOKUP(B711,'材料マスタ'!$B$5:$L$104,11,FALSE),""))</f>
        <v/>
      </c>
      <c r="F711" s="12">
        <f>IF(OR(B711="",C711=""),"",IFERROR(ROUND(C711*E711,2),""))</f>
        <v/>
      </c>
      <c r="G711" s="14">
        <f>IF(B711="","",IFERROR(IF(VLOOKUP(B711,'材料マスタ'!$B$5:$L$104,11,FALSE)="","材料マスタを確認",IF(C711="","使用量を入力","OK")),"未登録の材料"))</f>
        <v/>
      </c>
    </row>
    <row r="712">
      <c r="A712" s="7" t="n">
        <v>6</v>
      </c>
      <c r="B712" s="8" t="n"/>
      <c r="C712" s="11" t="n"/>
      <c r="D712" s="14">
        <f>IF(B712="","",IFERROR(VLOOKUP(B712,'材料マスタ'!$B$5:$L$104,7,FALSE)&amp;"",""))</f>
        <v/>
      </c>
      <c r="E712" s="13">
        <f>IF(B712="","",IFERROR(VLOOKUP(B712,'材料マスタ'!$B$5:$L$104,11,FALSE),""))</f>
        <v/>
      </c>
      <c r="F712" s="12">
        <f>IF(OR(B712="",C712=""),"",IFERROR(ROUND(C712*E712,2),""))</f>
        <v/>
      </c>
      <c r="G712" s="14">
        <f>IF(B712="","",IFERROR(IF(VLOOKUP(B712,'材料マスタ'!$B$5:$L$104,11,FALSE)="","材料マスタを確認",IF(C712="","使用量を入力","OK")),"未登録の材料"))</f>
        <v/>
      </c>
    </row>
    <row r="713">
      <c r="A713" s="7" t="n">
        <v>7</v>
      </c>
      <c r="B713" s="8" t="n"/>
      <c r="C713" s="11" t="n"/>
      <c r="D713" s="14">
        <f>IF(B713="","",IFERROR(VLOOKUP(B713,'材料マスタ'!$B$5:$L$104,7,FALSE)&amp;"",""))</f>
        <v/>
      </c>
      <c r="E713" s="13">
        <f>IF(B713="","",IFERROR(VLOOKUP(B713,'材料マスタ'!$B$5:$L$104,11,FALSE),""))</f>
        <v/>
      </c>
      <c r="F713" s="12">
        <f>IF(OR(B713="",C713=""),"",IFERROR(ROUND(C713*E713,2),""))</f>
        <v/>
      </c>
      <c r="G713" s="14">
        <f>IF(B713="","",IFERROR(IF(VLOOKUP(B713,'材料マスタ'!$B$5:$L$104,11,FALSE)="","材料マスタを確認",IF(C713="","使用量を入力","OK")),"未登録の材料"))</f>
        <v/>
      </c>
    </row>
    <row r="714">
      <c r="A714" s="7" t="n">
        <v>8</v>
      </c>
      <c r="B714" s="8" t="n"/>
      <c r="C714" s="11" t="n"/>
      <c r="D714" s="14">
        <f>IF(B714="","",IFERROR(VLOOKUP(B714,'材料マスタ'!$B$5:$L$104,7,FALSE)&amp;"",""))</f>
        <v/>
      </c>
      <c r="E714" s="13">
        <f>IF(B714="","",IFERROR(VLOOKUP(B714,'材料マスタ'!$B$5:$L$104,11,FALSE),""))</f>
        <v/>
      </c>
      <c r="F714" s="12">
        <f>IF(OR(B714="",C714=""),"",IFERROR(ROUND(C714*E714,2),""))</f>
        <v/>
      </c>
      <c r="G714" s="14">
        <f>IF(B714="","",IFERROR(IF(VLOOKUP(B714,'材料マスタ'!$B$5:$L$104,11,FALSE)="","材料マスタを確認",IF(C714="","使用量を入力","OK")),"未登録の材料"))</f>
        <v/>
      </c>
    </row>
    <row r="715">
      <c r="A715" s="7" t="n">
        <v>9</v>
      </c>
      <c r="B715" s="8" t="n"/>
      <c r="C715" s="11" t="n"/>
      <c r="D715" s="14">
        <f>IF(B715="","",IFERROR(VLOOKUP(B715,'材料マスタ'!$B$5:$L$104,7,FALSE)&amp;"",""))</f>
        <v/>
      </c>
      <c r="E715" s="13">
        <f>IF(B715="","",IFERROR(VLOOKUP(B715,'材料マスタ'!$B$5:$L$104,11,FALSE),""))</f>
        <v/>
      </c>
      <c r="F715" s="12">
        <f>IF(OR(B715="",C715=""),"",IFERROR(ROUND(C715*E715,2),""))</f>
        <v/>
      </c>
      <c r="G715" s="14">
        <f>IF(B715="","",IFERROR(IF(VLOOKUP(B715,'材料マスタ'!$B$5:$L$104,11,FALSE)="","材料マスタを確認",IF(C715="","使用量を入力","OK")),"未登録の材料"))</f>
        <v/>
      </c>
    </row>
    <row r="716">
      <c r="A716" s="7" t="n">
        <v>10</v>
      </c>
      <c r="B716" s="8" t="n"/>
      <c r="C716" s="11" t="n"/>
      <c r="D716" s="14">
        <f>IF(B716="","",IFERROR(VLOOKUP(B716,'材料マスタ'!$B$5:$L$104,7,FALSE)&amp;"",""))</f>
        <v/>
      </c>
      <c r="E716" s="13">
        <f>IF(B716="","",IFERROR(VLOOKUP(B716,'材料マスタ'!$B$5:$L$104,11,FALSE),""))</f>
        <v/>
      </c>
      <c r="F716" s="12">
        <f>IF(OR(B716="",C716=""),"",IFERROR(ROUND(C716*E716,2),""))</f>
        <v/>
      </c>
      <c r="G716" s="14">
        <f>IF(B716="","",IFERROR(IF(VLOOKUP(B716,'材料マスタ'!$B$5:$L$104,11,FALSE)="","材料マスタを確認",IF(C716="","使用量を入力","OK")),"未登録の材料"))</f>
        <v/>
      </c>
    </row>
    <row r="717">
      <c r="A717" s="7" t="n">
        <v>11</v>
      </c>
      <c r="B717" s="8" t="n"/>
      <c r="C717" s="11" t="n"/>
      <c r="D717" s="14">
        <f>IF(B717="","",IFERROR(VLOOKUP(B717,'材料マスタ'!$B$5:$L$104,7,FALSE)&amp;"",""))</f>
        <v/>
      </c>
      <c r="E717" s="13">
        <f>IF(B717="","",IFERROR(VLOOKUP(B717,'材料マスタ'!$B$5:$L$104,11,FALSE),""))</f>
        <v/>
      </c>
      <c r="F717" s="12">
        <f>IF(OR(B717="",C717=""),"",IFERROR(ROUND(C717*E717,2),""))</f>
        <v/>
      </c>
      <c r="G717" s="14">
        <f>IF(B717="","",IFERROR(IF(VLOOKUP(B717,'材料マスタ'!$B$5:$L$104,11,FALSE)="","材料マスタを確認",IF(C717="","使用量を入力","OK")),"未登録の材料"))</f>
        <v/>
      </c>
    </row>
    <row r="718">
      <c r="A718" s="7" t="n">
        <v>12</v>
      </c>
      <c r="B718" s="8" t="n"/>
      <c r="C718" s="11" t="n"/>
      <c r="D718" s="14">
        <f>IF(B718="","",IFERROR(VLOOKUP(B718,'材料マスタ'!$B$5:$L$104,7,FALSE)&amp;"",""))</f>
        <v/>
      </c>
      <c r="E718" s="13">
        <f>IF(B718="","",IFERROR(VLOOKUP(B718,'材料マスタ'!$B$5:$L$104,11,FALSE),""))</f>
        <v/>
      </c>
      <c r="F718" s="12">
        <f>IF(OR(B718="",C718=""),"",IFERROR(ROUND(C718*E718,2),""))</f>
        <v/>
      </c>
      <c r="G718" s="14">
        <f>IF(B718="","",IFERROR(IF(VLOOKUP(B718,'材料マスタ'!$B$5:$L$104,11,FALSE)="","材料マスタを確認",IF(C718="","使用量を入力","OK")),"未登録の材料"))</f>
        <v/>
      </c>
    </row>
    <row r="719">
      <c r="A719" s="7" t="n">
        <v>13</v>
      </c>
      <c r="B719" s="8" t="n"/>
      <c r="C719" s="11" t="n"/>
      <c r="D719" s="14">
        <f>IF(B719="","",IFERROR(VLOOKUP(B719,'材料マスタ'!$B$5:$L$104,7,FALSE)&amp;"",""))</f>
        <v/>
      </c>
      <c r="E719" s="13">
        <f>IF(B719="","",IFERROR(VLOOKUP(B719,'材料マスタ'!$B$5:$L$104,11,FALSE),""))</f>
        <v/>
      </c>
      <c r="F719" s="12">
        <f>IF(OR(B719="",C719=""),"",IFERROR(ROUND(C719*E719,2),""))</f>
        <v/>
      </c>
      <c r="G719" s="14">
        <f>IF(B719="","",IFERROR(IF(VLOOKUP(B719,'材料マスタ'!$B$5:$L$104,11,FALSE)="","材料マスタを確認",IF(C719="","使用量を入力","OK")),"未登録の材料"))</f>
        <v/>
      </c>
    </row>
    <row r="720">
      <c r="A720" s="7" t="n">
        <v>14</v>
      </c>
      <c r="B720" s="8" t="n"/>
      <c r="C720" s="11" t="n"/>
      <c r="D720" s="14">
        <f>IF(B720="","",IFERROR(VLOOKUP(B720,'材料マスタ'!$B$5:$L$104,7,FALSE)&amp;"",""))</f>
        <v/>
      </c>
      <c r="E720" s="13">
        <f>IF(B720="","",IFERROR(VLOOKUP(B720,'材料マスタ'!$B$5:$L$104,11,FALSE),""))</f>
        <v/>
      </c>
      <c r="F720" s="12">
        <f>IF(OR(B720="",C720=""),"",IFERROR(ROUND(C720*E720,2),""))</f>
        <v/>
      </c>
      <c r="G720" s="14">
        <f>IF(B720="","",IFERROR(IF(VLOOKUP(B720,'材料マスタ'!$B$5:$L$104,11,FALSE)="","材料マスタを確認",IF(C720="","使用量を入力","OK")),"未登録の材料"))</f>
        <v/>
      </c>
    </row>
    <row r="721">
      <c r="A721" s="7" t="n">
        <v>15</v>
      </c>
      <c r="B721" s="8" t="n"/>
      <c r="C721" s="11" t="n"/>
      <c r="D721" s="14">
        <f>IF(B721="","",IFERROR(VLOOKUP(B721,'材料マスタ'!$B$5:$L$104,7,FALSE)&amp;"",""))</f>
        <v/>
      </c>
      <c r="E721" s="13">
        <f>IF(B721="","",IFERROR(VLOOKUP(B721,'材料マスタ'!$B$5:$L$104,11,FALSE),""))</f>
        <v/>
      </c>
      <c r="F721" s="12">
        <f>IF(OR(B721="",C721=""),"",IFERROR(ROUND(C721*E721,2),""))</f>
        <v/>
      </c>
      <c r="G721" s="14">
        <f>IF(B721="","",IFERROR(IF(VLOOKUP(B721,'材料マスタ'!$B$5:$L$104,11,FALSE)="","材料マスタを確認",IF(C721="","使用量を入力","OK")),"未登録の材料"))</f>
        <v/>
      </c>
    </row>
    <row r="722">
      <c r="B722" s="21" t="inlineStr">
        <is>
          <t>合計原価（税抜・円）</t>
        </is>
      </c>
      <c r="C722" s="22">
        <f>SUM(F707:F721)</f>
        <v/>
      </c>
    </row>
    <row r="723">
      <c r="B723" s="23" t="inlineStr">
        <is>
          <t>目標原価率（適用値）</t>
        </is>
      </c>
      <c r="C723" s="24">
        <f>IF(E705="",'設定'!$C$4,IF(E705&gt;1,E705/100,E705))</f>
        <v/>
      </c>
    </row>
    <row r="724">
      <c r="B724" s="23" t="inlineStr">
        <is>
          <t>売価の税率（適用値）</t>
        </is>
      </c>
      <c r="C724" s="25">
        <f>IF(G705="",'設定'!$C$5,IF(G705&gt;=1,G705/100,G705))</f>
        <v/>
      </c>
    </row>
    <row r="725">
      <c r="B725" s="23" t="inlineStr">
        <is>
          <t>税抜売価（円）</t>
        </is>
      </c>
      <c r="C725" s="22">
        <f>IF(C705="","",IFERROR(ROUND(C705/(1+C724),2),""))</f>
        <v/>
      </c>
    </row>
    <row r="726">
      <c r="B726" s="21" t="inlineStr">
        <is>
          <t>原価率</t>
        </is>
      </c>
      <c r="C726" s="26">
        <f>IFERROR(IF(OR(C725="",C725=0),"",ROUND(C722/C725,4)),"")</f>
        <v/>
      </c>
      <c r="D726" s="7" t="inlineStr">
        <is>
          <t>判定［自動］</t>
        </is>
      </c>
      <c r="E726" s="27">
        <f>IF(C726="",IF(C704="","","売価を入力"),IF(C726&gt;C723,"超過","目標内"))</f>
        <v/>
      </c>
    </row>
    <row r="727">
      <c r="B727" s="23" t="inlineStr">
        <is>
          <t>目標との差（＋は目標超過）</t>
        </is>
      </c>
      <c r="C727" s="28">
        <f>IF(C726="","",ROUND(C726-C723,4))</f>
        <v/>
      </c>
    </row>
    <row r="728" ht="30" customHeight="1">
      <c r="B728" s="21" t="inlineStr">
        <is>
          <t>推奨売価（税込・円／目標原価率から逆算、10円単位で切り上げ）</t>
        </is>
      </c>
      <c r="C728" s="29">
        <f>IFERROR(IF(OR(C722=0,C723=0),"",ROUNDUP(ROUND(C722/C723*(1+C724),2)/10,0)*10),"")</f>
        <v/>
      </c>
    </row>
    <row r="729">
      <c r="A729" s="15" t="inlineStr">
        <is>
          <t>メニュー30</t>
        </is>
      </c>
      <c r="B729" s="16" t="inlineStr">
        <is>
          <t>【入力】メニュー名</t>
        </is>
      </c>
      <c r="C729" s="8" t="n"/>
      <c r="D729" s="17" t="n"/>
      <c r="E729" s="17" t="n"/>
      <c r="F729" s="17" t="n"/>
      <c r="G729" s="18" t="n"/>
    </row>
    <row r="730">
      <c r="B730" s="7" t="inlineStr">
        <is>
          <t>【入力】販売価格（税込・円）</t>
        </is>
      </c>
      <c r="C730" s="9" t="n"/>
      <c r="D730" s="19" t="inlineStr">
        <is>
          <t>【入力】目標原価率（空欄=設定値）</t>
        </is>
      </c>
      <c r="E730" s="10" t="n"/>
      <c r="F730" s="19" t="inlineStr">
        <is>
          <t>【入力】売価の税率（空欄=設定値）</t>
        </is>
      </c>
      <c r="G730" s="10" t="n"/>
    </row>
    <row r="731" ht="32" customHeight="1">
      <c r="A731" s="20" t="inlineStr">
        <is>
          <t>No</t>
        </is>
      </c>
      <c r="B731" s="20" t="inlineStr">
        <is>
          <t>【入力】材料名（リストから選ぶ）</t>
        </is>
      </c>
      <c r="C731" s="20" t="inlineStr">
        <is>
          <t>【入力】使用量</t>
        </is>
      </c>
      <c r="D731" s="20" t="inlineStr">
        <is>
          <t>単位［自動］</t>
        </is>
      </c>
      <c r="E731" s="20" t="inlineStr">
        <is>
          <t>単価（税抜・円/単位）［自動］</t>
        </is>
      </c>
      <c r="F731" s="20" t="inlineStr">
        <is>
          <t>原価（円）［自動］</t>
        </is>
      </c>
      <c r="G731" s="20" t="inlineStr">
        <is>
          <t>チェック［自動］</t>
        </is>
      </c>
    </row>
    <row r="732">
      <c r="A732" s="7" t="n">
        <v>1</v>
      </c>
      <c r="B732" s="8" t="n"/>
      <c r="C732" s="11" t="n"/>
      <c r="D732" s="14">
        <f>IF(B732="","",IFERROR(VLOOKUP(B732,'材料マスタ'!$B$5:$L$104,7,FALSE)&amp;"",""))</f>
        <v/>
      </c>
      <c r="E732" s="13">
        <f>IF(B732="","",IFERROR(VLOOKUP(B732,'材料マスタ'!$B$5:$L$104,11,FALSE),""))</f>
        <v/>
      </c>
      <c r="F732" s="12">
        <f>IF(OR(B732="",C732=""),"",IFERROR(ROUND(C732*E732,2),""))</f>
        <v/>
      </c>
      <c r="G732" s="14">
        <f>IF(B732="","",IFERROR(IF(VLOOKUP(B732,'材料マスタ'!$B$5:$L$104,11,FALSE)="","材料マスタを確認",IF(C732="","使用量を入力","OK")),"未登録の材料"))</f>
        <v/>
      </c>
    </row>
    <row r="733">
      <c r="A733" s="7" t="n">
        <v>2</v>
      </c>
      <c r="B733" s="8" t="n"/>
      <c r="C733" s="11" t="n"/>
      <c r="D733" s="14">
        <f>IF(B733="","",IFERROR(VLOOKUP(B733,'材料マスタ'!$B$5:$L$104,7,FALSE)&amp;"",""))</f>
        <v/>
      </c>
      <c r="E733" s="13">
        <f>IF(B733="","",IFERROR(VLOOKUP(B733,'材料マスタ'!$B$5:$L$104,11,FALSE),""))</f>
        <v/>
      </c>
      <c r="F733" s="12">
        <f>IF(OR(B733="",C733=""),"",IFERROR(ROUND(C733*E733,2),""))</f>
        <v/>
      </c>
      <c r="G733" s="14">
        <f>IF(B733="","",IFERROR(IF(VLOOKUP(B733,'材料マスタ'!$B$5:$L$104,11,FALSE)="","材料マスタを確認",IF(C733="","使用量を入力","OK")),"未登録の材料"))</f>
        <v/>
      </c>
    </row>
    <row r="734">
      <c r="A734" s="7" t="n">
        <v>3</v>
      </c>
      <c r="B734" s="8" t="n"/>
      <c r="C734" s="11" t="n"/>
      <c r="D734" s="14">
        <f>IF(B734="","",IFERROR(VLOOKUP(B734,'材料マスタ'!$B$5:$L$104,7,FALSE)&amp;"",""))</f>
        <v/>
      </c>
      <c r="E734" s="13">
        <f>IF(B734="","",IFERROR(VLOOKUP(B734,'材料マスタ'!$B$5:$L$104,11,FALSE),""))</f>
        <v/>
      </c>
      <c r="F734" s="12">
        <f>IF(OR(B734="",C734=""),"",IFERROR(ROUND(C734*E734,2),""))</f>
        <v/>
      </c>
      <c r="G734" s="14">
        <f>IF(B734="","",IFERROR(IF(VLOOKUP(B734,'材料マスタ'!$B$5:$L$104,11,FALSE)="","材料マスタを確認",IF(C734="","使用量を入力","OK")),"未登録の材料"))</f>
        <v/>
      </c>
    </row>
    <row r="735">
      <c r="A735" s="7" t="n">
        <v>4</v>
      </c>
      <c r="B735" s="8" t="n"/>
      <c r="C735" s="11" t="n"/>
      <c r="D735" s="14">
        <f>IF(B735="","",IFERROR(VLOOKUP(B735,'材料マスタ'!$B$5:$L$104,7,FALSE)&amp;"",""))</f>
        <v/>
      </c>
      <c r="E735" s="13">
        <f>IF(B735="","",IFERROR(VLOOKUP(B735,'材料マスタ'!$B$5:$L$104,11,FALSE),""))</f>
        <v/>
      </c>
      <c r="F735" s="12">
        <f>IF(OR(B735="",C735=""),"",IFERROR(ROUND(C735*E735,2),""))</f>
        <v/>
      </c>
      <c r="G735" s="14">
        <f>IF(B735="","",IFERROR(IF(VLOOKUP(B735,'材料マスタ'!$B$5:$L$104,11,FALSE)="","材料マスタを確認",IF(C735="","使用量を入力","OK")),"未登録の材料"))</f>
        <v/>
      </c>
    </row>
    <row r="736">
      <c r="A736" s="7" t="n">
        <v>5</v>
      </c>
      <c r="B736" s="8" t="n"/>
      <c r="C736" s="11" t="n"/>
      <c r="D736" s="14">
        <f>IF(B736="","",IFERROR(VLOOKUP(B736,'材料マスタ'!$B$5:$L$104,7,FALSE)&amp;"",""))</f>
        <v/>
      </c>
      <c r="E736" s="13">
        <f>IF(B736="","",IFERROR(VLOOKUP(B736,'材料マスタ'!$B$5:$L$104,11,FALSE),""))</f>
        <v/>
      </c>
      <c r="F736" s="12">
        <f>IF(OR(B736="",C736=""),"",IFERROR(ROUND(C736*E736,2),""))</f>
        <v/>
      </c>
      <c r="G736" s="14">
        <f>IF(B736="","",IFERROR(IF(VLOOKUP(B736,'材料マスタ'!$B$5:$L$104,11,FALSE)="","材料マスタを確認",IF(C736="","使用量を入力","OK")),"未登録の材料"))</f>
        <v/>
      </c>
    </row>
    <row r="737">
      <c r="A737" s="7" t="n">
        <v>6</v>
      </c>
      <c r="B737" s="8" t="n"/>
      <c r="C737" s="11" t="n"/>
      <c r="D737" s="14">
        <f>IF(B737="","",IFERROR(VLOOKUP(B737,'材料マスタ'!$B$5:$L$104,7,FALSE)&amp;"",""))</f>
        <v/>
      </c>
      <c r="E737" s="13">
        <f>IF(B737="","",IFERROR(VLOOKUP(B737,'材料マスタ'!$B$5:$L$104,11,FALSE),""))</f>
        <v/>
      </c>
      <c r="F737" s="12">
        <f>IF(OR(B737="",C737=""),"",IFERROR(ROUND(C737*E737,2),""))</f>
        <v/>
      </c>
      <c r="G737" s="14">
        <f>IF(B737="","",IFERROR(IF(VLOOKUP(B737,'材料マスタ'!$B$5:$L$104,11,FALSE)="","材料マスタを確認",IF(C737="","使用量を入力","OK")),"未登録の材料"))</f>
        <v/>
      </c>
    </row>
    <row r="738">
      <c r="A738" s="7" t="n">
        <v>7</v>
      </c>
      <c r="B738" s="8" t="n"/>
      <c r="C738" s="11" t="n"/>
      <c r="D738" s="14">
        <f>IF(B738="","",IFERROR(VLOOKUP(B738,'材料マスタ'!$B$5:$L$104,7,FALSE)&amp;"",""))</f>
        <v/>
      </c>
      <c r="E738" s="13">
        <f>IF(B738="","",IFERROR(VLOOKUP(B738,'材料マスタ'!$B$5:$L$104,11,FALSE),""))</f>
        <v/>
      </c>
      <c r="F738" s="12">
        <f>IF(OR(B738="",C738=""),"",IFERROR(ROUND(C738*E738,2),""))</f>
        <v/>
      </c>
      <c r="G738" s="14">
        <f>IF(B738="","",IFERROR(IF(VLOOKUP(B738,'材料マスタ'!$B$5:$L$104,11,FALSE)="","材料マスタを確認",IF(C738="","使用量を入力","OK")),"未登録の材料"))</f>
        <v/>
      </c>
    </row>
    <row r="739">
      <c r="A739" s="7" t="n">
        <v>8</v>
      </c>
      <c r="B739" s="8" t="n"/>
      <c r="C739" s="11" t="n"/>
      <c r="D739" s="14">
        <f>IF(B739="","",IFERROR(VLOOKUP(B739,'材料マスタ'!$B$5:$L$104,7,FALSE)&amp;"",""))</f>
        <v/>
      </c>
      <c r="E739" s="13">
        <f>IF(B739="","",IFERROR(VLOOKUP(B739,'材料マスタ'!$B$5:$L$104,11,FALSE),""))</f>
        <v/>
      </c>
      <c r="F739" s="12">
        <f>IF(OR(B739="",C739=""),"",IFERROR(ROUND(C739*E739,2),""))</f>
        <v/>
      </c>
      <c r="G739" s="14">
        <f>IF(B739="","",IFERROR(IF(VLOOKUP(B739,'材料マスタ'!$B$5:$L$104,11,FALSE)="","材料マスタを確認",IF(C739="","使用量を入力","OK")),"未登録の材料"))</f>
        <v/>
      </c>
    </row>
    <row r="740">
      <c r="A740" s="7" t="n">
        <v>9</v>
      </c>
      <c r="B740" s="8" t="n"/>
      <c r="C740" s="11" t="n"/>
      <c r="D740" s="14">
        <f>IF(B740="","",IFERROR(VLOOKUP(B740,'材料マスタ'!$B$5:$L$104,7,FALSE)&amp;"",""))</f>
        <v/>
      </c>
      <c r="E740" s="13">
        <f>IF(B740="","",IFERROR(VLOOKUP(B740,'材料マスタ'!$B$5:$L$104,11,FALSE),""))</f>
        <v/>
      </c>
      <c r="F740" s="12">
        <f>IF(OR(B740="",C740=""),"",IFERROR(ROUND(C740*E740,2),""))</f>
        <v/>
      </c>
      <c r="G740" s="14">
        <f>IF(B740="","",IFERROR(IF(VLOOKUP(B740,'材料マスタ'!$B$5:$L$104,11,FALSE)="","材料マスタを確認",IF(C740="","使用量を入力","OK")),"未登録の材料"))</f>
        <v/>
      </c>
    </row>
    <row r="741">
      <c r="A741" s="7" t="n">
        <v>10</v>
      </c>
      <c r="B741" s="8" t="n"/>
      <c r="C741" s="11" t="n"/>
      <c r="D741" s="14">
        <f>IF(B741="","",IFERROR(VLOOKUP(B741,'材料マスタ'!$B$5:$L$104,7,FALSE)&amp;"",""))</f>
        <v/>
      </c>
      <c r="E741" s="13">
        <f>IF(B741="","",IFERROR(VLOOKUP(B741,'材料マスタ'!$B$5:$L$104,11,FALSE),""))</f>
        <v/>
      </c>
      <c r="F741" s="12">
        <f>IF(OR(B741="",C741=""),"",IFERROR(ROUND(C741*E741,2),""))</f>
        <v/>
      </c>
      <c r="G741" s="14">
        <f>IF(B741="","",IFERROR(IF(VLOOKUP(B741,'材料マスタ'!$B$5:$L$104,11,FALSE)="","材料マスタを確認",IF(C741="","使用量を入力","OK")),"未登録の材料"))</f>
        <v/>
      </c>
    </row>
    <row r="742">
      <c r="A742" s="7" t="n">
        <v>11</v>
      </c>
      <c r="B742" s="8" t="n"/>
      <c r="C742" s="11" t="n"/>
      <c r="D742" s="14">
        <f>IF(B742="","",IFERROR(VLOOKUP(B742,'材料マスタ'!$B$5:$L$104,7,FALSE)&amp;"",""))</f>
        <v/>
      </c>
      <c r="E742" s="13">
        <f>IF(B742="","",IFERROR(VLOOKUP(B742,'材料マスタ'!$B$5:$L$104,11,FALSE),""))</f>
        <v/>
      </c>
      <c r="F742" s="12">
        <f>IF(OR(B742="",C742=""),"",IFERROR(ROUND(C742*E742,2),""))</f>
        <v/>
      </c>
      <c r="G742" s="14">
        <f>IF(B742="","",IFERROR(IF(VLOOKUP(B742,'材料マスタ'!$B$5:$L$104,11,FALSE)="","材料マスタを確認",IF(C742="","使用量を入力","OK")),"未登録の材料"))</f>
        <v/>
      </c>
    </row>
    <row r="743">
      <c r="A743" s="7" t="n">
        <v>12</v>
      </c>
      <c r="B743" s="8" t="n"/>
      <c r="C743" s="11" t="n"/>
      <c r="D743" s="14">
        <f>IF(B743="","",IFERROR(VLOOKUP(B743,'材料マスタ'!$B$5:$L$104,7,FALSE)&amp;"",""))</f>
        <v/>
      </c>
      <c r="E743" s="13">
        <f>IF(B743="","",IFERROR(VLOOKUP(B743,'材料マスタ'!$B$5:$L$104,11,FALSE),""))</f>
        <v/>
      </c>
      <c r="F743" s="12">
        <f>IF(OR(B743="",C743=""),"",IFERROR(ROUND(C743*E743,2),""))</f>
        <v/>
      </c>
      <c r="G743" s="14">
        <f>IF(B743="","",IFERROR(IF(VLOOKUP(B743,'材料マスタ'!$B$5:$L$104,11,FALSE)="","材料マスタを確認",IF(C743="","使用量を入力","OK")),"未登録の材料"))</f>
        <v/>
      </c>
    </row>
    <row r="744">
      <c r="A744" s="7" t="n">
        <v>13</v>
      </c>
      <c r="B744" s="8" t="n"/>
      <c r="C744" s="11" t="n"/>
      <c r="D744" s="14">
        <f>IF(B744="","",IFERROR(VLOOKUP(B744,'材料マスタ'!$B$5:$L$104,7,FALSE)&amp;"",""))</f>
        <v/>
      </c>
      <c r="E744" s="13">
        <f>IF(B744="","",IFERROR(VLOOKUP(B744,'材料マスタ'!$B$5:$L$104,11,FALSE),""))</f>
        <v/>
      </c>
      <c r="F744" s="12">
        <f>IF(OR(B744="",C744=""),"",IFERROR(ROUND(C744*E744,2),""))</f>
        <v/>
      </c>
      <c r="G744" s="14">
        <f>IF(B744="","",IFERROR(IF(VLOOKUP(B744,'材料マスタ'!$B$5:$L$104,11,FALSE)="","材料マスタを確認",IF(C744="","使用量を入力","OK")),"未登録の材料"))</f>
        <v/>
      </c>
    </row>
    <row r="745">
      <c r="A745" s="7" t="n">
        <v>14</v>
      </c>
      <c r="B745" s="8" t="n"/>
      <c r="C745" s="11" t="n"/>
      <c r="D745" s="14">
        <f>IF(B745="","",IFERROR(VLOOKUP(B745,'材料マスタ'!$B$5:$L$104,7,FALSE)&amp;"",""))</f>
        <v/>
      </c>
      <c r="E745" s="13">
        <f>IF(B745="","",IFERROR(VLOOKUP(B745,'材料マスタ'!$B$5:$L$104,11,FALSE),""))</f>
        <v/>
      </c>
      <c r="F745" s="12">
        <f>IF(OR(B745="",C745=""),"",IFERROR(ROUND(C745*E745,2),""))</f>
        <v/>
      </c>
      <c r="G745" s="14">
        <f>IF(B745="","",IFERROR(IF(VLOOKUP(B745,'材料マスタ'!$B$5:$L$104,11,FALSE)="","材料マスタを確認",IF(C745="","使用量を入力","OK")),"未登録の材料"))</f>
        <v/>
      </c>
    </row>
    <row r="746">
      <c r="A746" s="7" t="n">
        <v>15</v>
      </c>
      <c r="B746" s="8" t="n"/>
      <c r="C746" s="11" t="n"/>
      <c r="D746" s="14">
        <f>IF(B746="","",IFERROR(VLOOKUP(B746,'材料マスタ'!$B$5:$L$104,7,FALSE)&amp;"",""))</f>
        <v/>
      </c>
      <c r="E746" s="13">
        <f>IF(B746="","",IFERROR(VLOOKUP(B746,'材料マスタ'!$B$5:$L$104,11,FALSE),""))</f>
        <v/>
      </c>
      <c r="F746" s="12">
        <f>IF(OR(B746="",C746=""),"",IFERROR(ROUND(C746*E746,2),""))</f>
        <v/>
      </c>
      <c r="G746" s="14">
        <f>IF(B746="","",IFERROR(IF(VLOOKUP(B746,'材料マスタ'!$B$5:$L$104,11,FALSE)="","材料マスタを確認",IF(C746="","使用量を入力","OK")),"未登録の材料"))</f>
        <v/>
      </c>
    </row>
    <row r="747">
      <c r="B747" s="21" t="inlineStr">
        <is>
          <t>合計原価（税抜・円）</t>
        </is>
      </c>
      <c r="C747" s="22">
        <f>SUM(F732:F746)</f>
        <v/>
      </c>
    </row>
    <row r="748">
      <c r="B748" s="23" t="inlineStr">
        <is>
          <t>目標原価率（適用値）</t>
        </is>
      </c>
      <c r="C748" s="24">
        <f>IF(E730="",'設定'!$C$4,IF(E730&gt;1,E730/100,E730))</f>
        <v/>
      </c>
    </row>
    <row r="749">
      <c r="B749" s="23" t="inlineStr">
        <is>
          <t>売価の税率（適用値）</t>
        </is>
      </c>
      <c r="C749" s="25">
        <f>IF(G730="",'設定'!$C$5,IF(G730&gt;=1,G730/100,G730))</f>
        <v/>
      </c>
    </row>
    <row r="750">
      <c r="B750" s="23" t="inlineStr">
        <is>
          <t>税抜売価（円）</t>
        </is>
      </c>
      <c r="C750" s="22">
        <f>IF(C730="","",IFERROR(ROUND(C730/(1+C749),2),""))</f>
        <v/>
      </c>
    </row>
    <row r="751">
      <c r="B751" s="21" t="inlineStr">
        <is>
          <t>原価率</t>
        </is>
      </c>
      <c r="C751" s="26">
        <f>IFERROR(IF(OR(C750="",C750=0),"",ROUND(C747/C750,4)),"")</f>
        <v/>
      </c>
      <c r="D751" s="7" t="inlineStr">
        <is>
          <t>判定［自動］</t>
        </is>
      </c>
      <c r="E751" s="27">
        <f>IF(C751="",IF(C729="","","売価を入力"),IF(C751&gt;C748,"超過","目標内"))</f>
        <v/>
      </c>
    </row>
    <row r="752">
      <c r="B752" s="23" t="inlineStr">
        <is>
          <t>目標との差（＋は目標超過）</t>
        </is>
      </c>
      <c r="C752" s="28">
        <f>IF(C751="","",ROUND(C751-C748,4))</f>
        <v/>
      </c>
    </row>
    <row r="753" ht="30" customHeight="1">
      <c r="B753" s="21" t="inlineStr">
        <is>
          <t>推奨売価（税込・円／目標原価率から逆算、10円単位で切り上げ）</t>
        </is>
      </c>
      <c r="C753" s="29">
        <f>IFERROR(IF(OR(C747=0,C748=0),"",ROUNDUP(ROUND(C747/C748*(1+C749),2)/10,0)*10),"")</f>
        <v/>
      </c>
    </row>
  </sheetData>
  <mergeCells count="30">
    <mergeCell ref="C729:G729"/>
    <mergeCell ref="C354:G354"/>
    <mergeCell ref="C254:G254"/>
    <mergeCell ref="C204:G204"/>
    <mergeCell ref="C179:G179"/>
    <mergeCell ref="C279:G279"/>
    <mergeCell ref="C104:G104"/>
    <mergeCell ref="C604:G604"/>
    <mergeCell ref="C629:G629"/>
    <mergeCell ref="C579:G579"/>
    <mergeCell ref="C654:G654"/>
    <mergeCell ref="C504:G504"/>
    <mergeCell ref="C79:G79"/>
    <mergeCell ref="C29:G29"/>
    <mergeCell ref="C4:G4"/>
    <mergeCell ref="C54:G54"/>
    <mergeCell ref="C554:G554"/>
    <mergeCell ref="C154:G154"/>
    <mergeCell ref="C404:G404"/>
    <mergeCell ref="C329:G329"/>
    <mergeCell ref="C129:G129"/>
    <mergeCell ref="C379:G379"/>
    <mergeCell ref="C704:G704"/>
    <mergeCell ref="C679:G679"/>
    <mergeCell ref="C479:G479"/>
    <mergeCell ref="C529:G529"/>
    <mergeCell ref="C429:G429"/>
    <mergeCell ref="C454:G454"/>
    <mergeCell ref="C304:G304"/>
    <mergeCell ref="C229:G229"/>
  </mergeCells>
  <conditionalFormatting sqref="E4:E754">
    <cfRule type="cellIs" priority="1" operator="equal" dxfId="0">
      <formula>"超過"</formula>
    </cfRule>
  </conditionalFormatting>
  <dataValidations count="1">
    <dataValidation sqref="B7:B21 B32:B46 B57:B71 B82:B96 B107:B121 B132:B146 B157:B171 B182:B196 B207:B221 B232:B246 B257:B271 B282:B296 B307:B321 B332:B346 B357:B371 B382:B396 B407:B421 B432:B446 B457:B471 B482:B496 B507:B521 B532:B546 B557:B571 B582:B596 B607:B621 B632:B646 B657:B671 B682:B696 B707:B721 B732:B746" showDropDown="0" showInputMessage="0" showErrorMessage="0" allowBlank="1" errorTitle="材料名" error="材料マスタに登録した材料名を選んでください" type="list">
      <formula1>'材料マスタ'!$B$5:$B$104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4" t="inlineStr">
        <is>
          <t>一覧（全メニューの原価率）</t>
        </is>
      </c>
    </row>
    <row r="2">
      <c r="A2" s="5" t="inlineStr">
        <is>
          <t>このシートは自動で表示されます（入力は不要）。判定が「超過」の品は、目標原価率を超えています。</t>
        </is>
      </c>
    </row>
    <row r="3">
      <c r="A3" s="5" t="inlineStr">
        <is>
          <t>店名：〇〇食堂（見本）／見本の数値はすべて架空です。</t>
        </is>
      </c>
    </row>
    <row r="4" ht="32" customHeight="1">
      <c r="A4" s="6" t="inlineStr">
        <is>
          <t>No</t>
        </is>
      </c>
      <c r="B4" s="6" t="inlineStr">
        <is>
          <t>メニュー名</t>
        </is>
      </c>
      <c r="C4" s="6" t="inlineStr">
        <is>
          <t>販売価格（税込・円）</t>
        </is>
      </c>
      <c r="D4" s="6" t="inlineStr">
        <is>
          <t>合計原価（税抜・円）</t>
        </is>
      </c>
      <c r="E4" s="6" t="inlineStr">
        <is>
          <t>原価率</t>
        </is>
      </c>
      <c r="F4" s="6" t="inlineStr">
        <is>
          <t>目標原価率</t>
        </is>
      </c>
      <c r="G4" s="6" t="inlineStr">
        <is>
          <t>目標との差</t>
        </is>
      </c>
      <c r="H4" s="6" t="inlineStr">
        <is>
          <t>判定</t>
        </is>
      </c>
      <c r="I4" s="6" t="inlineStr">
        <is>
          <t>推奨売価（税込・円）</t>
        </is>
      </c>
    </row>
    <row r="5">
      <c r="A5" s="7" t="n">
        <v>1</v>
      </c>
      <c r="B5" s="7">
        <f>IF('メニュー原価'!C4="","",'メニュー原価'!C4)</f>
        <v/>
      </c>
      <c r="C5" s="30">
        <f>IF('メニュー原価'!C4="","",IF('メニュー原価'!C5="","",'メニュー原価'!C5))</f>
        <v/>
      </c>
      <c r="D5" s="31">
        <f>IF('メニュー原価'!C4="","",IF('メニュー原価'!C22="","",'メニュー原価'!C22))</f>
        <v/>
      </c>
      <c r="E5" s="32">
        <f>IF('メニュー原価'!C4="","",IF('メニュー原価'!C26="","",'メニュー原価'!C26))</f>
        <v/>
      </c>
      <c r="F5" s="33">
        <f>IF('メニュー原価'!C4="","",IF('メニュー原価'!C23="","",'メニュー原価'!C23))</f>
        <v/>
      </c>
      <c r="G5" s="34">
        <f>IF('メニュー原価'!C4="","",IF('メニュー原価'!C27="","",'メニュー原価'!C27))</f>
        <v/>
      </c>
      <c r="H5" s="7">
        <f>IF('メニュー原価'!C4="","",IF('メニュー原価'!E26="","",'メニュー原価'!E26))</f>
        <v/>
      </c>
      <c r="I5" s="30">
        <f>IF('メニュー原価'!C4="","",IF('メニュー原価'!C28="","",'メニュー原価'!C28))</f>
        <v/>
      </c>
    </row>
    <row r="6">
      <c r="A6" s="7" t="n">
        <v>2</v>
      </c>
      <c r="B6" s="7">
        <f>IF('メニュー原価'!C29="","",'メニュー原価'!C29)</f>
        <v/>
      </c>
      <c r="C6" s="30">
        <f>IF('メニュー原価'!C29="","",IF('メニュー原価'!C30="","",'メニュー原価'!C30))</f>
        <v/>
      </c>
      <c r="D6" s="31">
        <f>IF('メニュー原価'!C29="","",IF('メニュー原価'!C47="","",'メニュー原価'!C47))</f>
        <v/>
      </c>
      <c r="E6" s="32">
        <f>IF('メニュー原価'!C29="","",IF('メニュー原価'!C51="","",'メニュー原価'!C51))</f>
        <v/>
      </c>
      <c r="F6" s="33">
        <f>IF('メニュー原価'!C29="","",IF('メニュー原価'!C48="","",'メニュー原価'!C48))</f>
        <v/>
      </c>
      <c r="G6" s="34">
        <f>IF('メニュー原価'!C29="","",IF('メニュー原価'!C52="","",'メニュー原価'!C52))</f>
        <v/>
      </c>
      <c r="H6" s="7">
        <f>IF('メニュー原価'!C29="","",IF('メニュー原価'!E51="","",'メニュー原価'!E51))</f>
        <v/>
      </c>
      <c r="I6" s="30">
        <f>IF('メニュー原価'!C29="","",IF('メニュー原価'!C53="","",'メニュー原価'!C53))</f>
        <v/>
      </c>
    </row>
    <row r="7">
      <c r="A7" s="7" t="n">
        <v>3</v>
      </c>
      <c r="B7" s="7">
        <f>IF('メニュー原価'!C54="","",'メニュー原価'!C54)</f>
        <v/>
      </c>
      <c r="C7" s="30">
        <f>IF('メニュー原価'!C54="","",IF('メニュー原価'!C55="","",'メニュー原価'!C55))</f>
        <v/>
      </c>
      <c r="D7" s="31">
        <f>IF('メニュー原価'!C54="","",IF('メニュー原価'!C72="","",'メニュー原価'!C72))</f>
        <v/>
      </c>
      <c r="E7" s="32">
        <f>IF('メニュー原価'!C54="","",IF('メニュー原価'!C76="","",'メニュー原価'!C76))</f>
        <v/>
      </c>
      <c r="F7" s="33">
        <f>IF('メニュー原価'!C54="","",IF('メニュー原価'!C73="","",'メニュー原価'!C73))</f>
        <v/>
      </c>
      <c r="G7" s="34">
        <f>IF('メニュー原価'!C54="","",IF('メニュー原価'!C77="","",'メニュー原価'!C77))</f>
        <v/>
      </c>
      <c r="H7" s="7">
        <f>IF('メニュー原価'!C54="","",IF('メニュー原価'!E76="","",'メニュー原価'!E76))</f>
        <v/>
      </c>
      <c r="I7" s="30">
        <f>IF('メニュー原価'!C54="","",IF('メニュー原価'!C78="","",'メニュー原価'!C78))</f>
        <v/>
      </c>
    </row>
    <row r="8">
      <c r="A8" s="7" t="n">
        <v>4</v>
      </c>
      <c r="B8" s="7">
        <f>IF('メニュー原価'!C79="","",'メニュー原価'!C79)</f>
        <v/>
      </c>
      <c r="C8" s="30">
        <f>IF('メニュー原価'!C79="","",IF('メニュー原価'!C80="","",'メニュー原価'!C80))</f>
        <v/>
      </c>
      <c r="D8" s="31">
        <f>IF('メニュー原価'!C79="","",IF('メニュー原価'!C97="","",'メニュー原価'!C97))</f>
        <v/>
      </c>
      <c r="E8" s="32">
        <f>IF('メニュー原価'!C79="","",IF('メニュー原価'!C101="","",'メニュー原価'!C101))</f>
        <v/>
      </c>
      <c r="F8" s="33">
        <f>IF('メニュー原価'!C79="","",IF('メニュー原価'!C98="","",'メニュー原価'!C98))</f>
        <v/>
      </c>
      <c r="G8" s="34">
        <f>IF('メニュー原価'!C79="","",IF('メニュー原価'!C102="","",'メニュー原価'!C102))</f>
        <v/>
      </c>
      <c r="H8" s="7">
        <f>IF('メニュー原価'!C79="","",IF('メニュー原価'!E101="","",'メニュー原価'!E101))</f>
        <v/>
      </c>
      <c r="I8" s="30">
        <f>IF('メニュー原価'!C79="","",IF('メニュー原価'!C103="","",'メニュー原価'!C103))</f>
        <v/>
      </c>
    </row>
    <row r="9">
      <c r="A9" s="7" t="n">
        <v>5</v>
      </c>
      <c r="B9" s="7">
        <f>IF('メニュー原価'!C104="","",'メニュー原価'!C104)</f>
        <v/>
      </c>
      <c r="C9" s="30">
        <f>IF('メニュー原価'!C104="","",IF('メニュー原価'!C105="","",'メニュー原価'!C105))</f>
        <v/>
      </c>
      <c r="D9" s="31">
        <f>IF('メニュー原価'!C104="","",IF('メニュー原価'!C122="","",'メニュー原価'!C122))</f>
        <v/>
      </c>
      <c r="E9" s="32">
        <f>IF('メニュー原価'!C104="","",IF('メニュー原価'!C126="","",'メニュー原価'!C126))</f>
        <v/>
      </c>
      <c r="F9" s="33">
        <f>IF('メニュー原価'!C104="","",IF('メニュー原価'!C123="","",'メニュー原価'!C123))</f>
        <v/>
      </c>
      <c r="G9" s="34">
        <f>IF('メニュー原価'!C104="","",IF('メニュー原価'!C127="","",'メニュー原価'!C127))</f>
        <v/>
      </c>
      <c r="H9" s="7">
        <f>IF('メニュー原価'!C104="","",IF('メニュー原価'!E126="","",'メニュー原価'!E126))</f>
        <v/>
      </c>
      <c r="I9" s="30">
        <f>IF('メニュー原価'!C104="","",IF('メニュー原価'!C128="","",'メニュー原価'!C128))</f>
        <v/>
      </c>
    </row>
    <row r="10">
      <c r="A10" s="7" t="n">
        <v>6</v>
      </c>
      <c r="B10" s="7">
        <f>IF('メニュー原価'!C129="","",'メニュー原価'!C129)</f>
        <v/>
      </c>
      <c r="C10" s="30">
        <f>IF('メニュー原価'!C129="","",IF('メニュー原価'!C130="","",'メニュー原価'!C130))</f>
        <v/>
      </c>
      <c r="D10" s="31">
        <f>IF('メニュー原価'!C129="","",IF('メニュー原価'!C147="","",'メニュー原価'!C147))</f>
        <v/>
      </c>
      <c r="E10" s="32">
        <f>IF('メニュー原価'!C129="","",IF('メニュー原価'!C151="","",'メニュー原価'!C151))</f>
        <v/>
      </c>
      <c r="F10" s="33">
        <f>IF('メニュー原価'!C129="","",IF('メニュー原価'!C148="","",'メニュー原価'!C148))</f>
        <v/>
      </c>
      <c r="G10" s="34">
        <f>IF('メニュー原価'!C129="","",IF('メニュー原価'!C152="","",'メニュー原価'!C152))</f>
        <v/>
      </c>
      <c r="H10" s="7">
        <f>IF('メニュー原価'!C129="","",IF('メニュー原価'!E151="","",'メニュー原価'!E151))</f>
        <v/>
      </c>
      <c r="I10" s="30">
        <f>IF('メニュー原価'!C129="","",IF('メニュー原価'!C153="","",'メニュー原価'!C153))</f>
        <v/>
      </c>
    </row>
    <row r="11">
      <c r="A11" s="7" t="n">
        <v>7</v>
      </c>
      <c r="B11" s="7">
        <f>IF('メニュー原価'!C154="","",'メニュー原価'!C154)</f>
        <v/>
      </c>
      <c r="C11" s="30">
        <f>IF('メニュー原価'!C154="","",IF('メニュー原価'!C155="","",'メニュー原価'!C155))</f>
        <v/>
      </c>
      <c r="D11" s="31">
        <f>IF('メニュー原価'!C154="","",IF('メニュー原価'!C172="","",'メニュー原価'!C172))</f>
        <v/>
      </c>
      <c r="E11" s="32">
        <f>IF('メニュー原価'!C154="","",IF('メニュー原価'!C176="","",'メニュー原価'!C176))</f>
        <v/>
      </c>
      <c r="F11" s="33">
        <f>IF('メニュー原価'!C154="","",IF('メニュー原価'!C173="","",'メニュー原価'!C173))</f>
        <v/>
      </c>
      <c r="G11" s="34">
        <f>IF('メニュー原価'!C154="","",IF('メニュー原価'!C177="","",'メニュー原価'!C177))</f>
        <v/>
      </c>
      <c r="H11" s="7">
        <f>IF('メニュー原価'!C154="","",IF('メニュー原価'!E176="","",'メニュー原価'!E176))</f>
        <v/>
      </c>
      <c r="I11" s="30">
        <f>IF('メニュー原価'!C154="","",IF('メニュー原価'!C178="","",'メニュー原価'!C178))</f>
        <v/>
      </c>
    </row>
    <row r="12">
      <c r="A12" s="7" t="n">
        <v>8</v>
      </c>
      <c r="B12" s="7">
        <f>IF('メニュー原価'!C179="","",'メニュー原価'!C179)</f>
        <v/>
      </c>
      <c r="C12" s="30">
        <f>IF('メニュー原価'!C179="","",IF('メニュー原価'!C180="","",'メニュー原価'!C180))</f>
        <v/>
      </c>
      <c r="D12" s="31">
        <f>IF('メニュー原価'!C179="","",IF('メニュー原価'!C197="","",'メニュー原価'!C197))</f>
        <v/>
      </c>
      <c r="E12" s="32">
        <f>IF('メニュー原価'!C179="","",IF('メニュー原価'!C201="","",'メニュー原価'!C201))</f>
        <v/>
      </c>
      <c r="F12" s="33">
        <f>IF('メニュー原価'!C179="","",IF('メニュー原価'!C198="","",'メニュー原価'!C198))</f>
        <v/>
      </c>
      <c r="G12" s="34">
        <f>IF('メニュー原価'!C179="","",IF('メニュー原価'!C202="","",'メニュー原価'!C202))</f>
        <v/>
      </c>
      <c r="H12" s="7">
        <f>IF('メニュー原価'!C179="","",IF('メニュー原価'!E201="","",'メニュー原価'!E201))</f>
        <v/>
      </c>
      <c r="I12" s="30">
        <f>IF('メニュー原価'!C179="","",IF('メニュー原価'!C203="","",'メニュー原価'!C203))</f>
        <v/>
      </c>
    </row>
    <row r="13">
      <c r="A13" s="7" t="n">
        <v>9</v>
      </c>
      <c r="B13" s="7">
        <f>IF('メニュー原価'!C204="","",'メニュー原価'!C204)</f>
        <v/>
      </c>
      <c r="C13" s="30">
        <f>IF('メニュー原価'!C204="","",IF('メニュー原価'!C205="","",'メニュー原価'!C205))</f>
        <v/>
      </c>
      <c r="D13" s="31">
        <f>IF('メニュー原価'!C204="","",IF('メニュー原価'!C222="","",'メニュー原価'!C222))</f>
        <v/>
      </c>
      <c r="E13" s="32">
        <f>IF('メニュー原価'!C204="","",IF('メニュー原価'!C226="","",'メニュー原価'!C226))</f>
        <v/>
      </c>
      <c r="F13" s="33">
        <f>IF('メニュー原価'!C204="","",IF('メニュー原価'!C223="","",'メニュー原価'!C223))</f>
        <v/>
      </c>
      <c r="G13" s="34">
        <f>IF('メニュー原価'!C204="","",IF('メニュー原価'!C227="","",'メニュー原価'!C227))</f>
        <v/>
      </c>
      <c r="H13" s="7">
        <f>IF('メニュー原価'!C204="","",IF('メニュー原価'!E226="","",'メニュー原価'!E226))</f>
        <v/>
      </c>
      <c r="I13" s="30">
        <f>IF('メニュー原価'!C204="","",IF('メニュー原価'!C228="","",'メニュー原価'!C228))</f>
        <v/>
      </c>
    </row>
    <row r="14">
      <c r="A14" s="7" t="n">
        <v>10</v>
      </c>
      <c r="B14" s="7">
        <f>IF('メニュー原価'!C229="","",'メニュー原価'!C229)</f>
        <v/>
      </c>
      <c r="C14" s="30">
        <f>IF('メニュー原価'!C229="","",IF('メニュー原価'!C230="","",'メニュー原価'!C230))</f>
        <v/>
      </c>
      <c r="D14" s="31">
        <f>IF('メニュー原価'!C229="","",IF('メニュー原価'!C247="","",'メニュー原価'!C247))</f>
        <v/>
      </c>
      <c r="E14" s="32">
        <f>IF('メニュー原価'!C229="","",IF('メニュー原価'!C251="","",'メニュー原価'!C251))</f>
        <v/>
      </c>
      <c r="F14" s="33">
        <f>IF('メニュー原価'!C229="","",IF('メニュー原価'!C248="","",'メニュー原価'!C248))</f>
        <v/>
      </c>
      <c r="G14" s="34">
        <f>IF('メニュー原価'!C229="","",IF('メニュー原価'!C252="","",'メニュー原価'!C252))</f>
        <v/>
      </c>
      <c r="H14" s="7">
        <f>IF('メニュー原価'!C229="","",IF('メニュー原価'!E251="","",'メニュー原価'!E251))</f>
        <v/>
      </c>
      <c r="I14" s="30">
        <f>IF('メニュー原価'!C229="","",IF('メニュー原価'!C253="","",'メニュー原価'!C253))</f>
        <v/>
      </c>
    </row>
    <row r="15">
      <c r="A15" s="7" t="n">
        <v>11</v>
      </c>
      <c r="B15" s="7">
        <f>IF('メニュー原価'!C254="","",'メニュー原価'!C254)</f>
        <v/>
      </c>
      <c r="C15" s="30">
        <f>IF('メニュー原価'!C254="","",IF('メニュー原価'!C255="","",'メニュー原価'!C255))</f>
        <v/>
      </c>
      <c r="D15" s="31">
        <f>IF('メニュー原価'!C254="","",IF('メニュー原価'!C272="","",'メニュー原価'!C272))</f>
        <v/>
      </c>
      <c r="E15" s="32">
        <f>IF('メニュー原価'!C254="","",IF('メニュー原価'!C276="","",'メニュー原価'!C276))</f>
        <v/>
      </c>
      <c r="F15" s="33">
        <f>IF('メニュー原価'!C254="","",IF('メニュー原価'!C273="","",'メニュー原価'!C273))</f>
        <v/>
      </c>
      <c r="G15" s="34">
        <f>IF('メニュー原価'!C254="","",IF('メニュー原価'!C277="","",'メニュー原価'!C277))</f>
        <v/>
      </c>
      <c r="H15" s="7">
        <f>IF('メニュー原価'!C254="","",IF('メニュー原価'!E276="","",'メニュー原価'!E276))</f>
        <v/>
      </c>
      <c r="I15" s="30">
        <f>IF('メニュー原価'!C254="","",IF('メニュー原価'!C278="","",'メニュー原価'!C278))</f>
        <v/>
      </c>
    </row>
    <row r="16">
      <c r="A16" s="7" t="n">
        <v>12</v>
      </c>
      <c r="B16" s="7">
        <f>IF('メニュー原価'!C279="","",'メニュー原価'!C279)</f>
        <v/>
      </c>
      <c r="C16" s="30">
        <f>IF('メニュー原価'!C279="","",IF('メニュー原価'!C280="","",'メニュー原価'!C280))</f>
        <v/>
      </c>
      <c r="D16" s="31">
        <f>IF('メニュー原価'!C279="","",IF('メニュー原価'!C297="","",'メニュー原価'!C297))</f>
        <v/>
      </c>
      <c r="E16" s="32">
        <f>IF('メニュー原価'!C279="","",IF('メニュー原価'!C301="","",'メニュー原価'!C301))</f>
        <v/>
      </c>
      <c r="F16" s="33">
        <f>IF('メニュー原価'!C279="","",IF('メニュー原価'!C298="","",'メニュー原価'!C298))</f>
        <v/>
      </c>
      <c r="G16" s="34">
        <f>IF('メニュー原価'!C279="","",IF('メニュー原価'!C302="","",'メニュー原価'!C302))</f>
        <v/>
      </c>
      <c r="H16" s="7">
        <f>IF('メニュー原価'!C279="","",IF('メニュー原価'!E301="","",'メニュー原価'!E301))</f>
        <v/>
      </c>
      <c r="I16" s="30">
        <f>IF('メニュー原価'!C279="","",IF('メニュー原価'!C303="","",'メニュー原価'!C303))</f>
        <v/>
      </c>
    </row>
    <row r="17">
      <c r="A17" s="7" t="n">
        <v>13</v>
      </c>
      <c r="B17" s="7">
        <f>IF('メニュー原価'!C304="","",'メニュー原価'!C304)</f>
        <v/>
      </c>
      <c r="C17" s="30">
        <f>IF('メニュー原価'!C304="","",IF('メニュー原価'!C305="","",'メニュー原価'!C305))</f>
        <v/>
      </c>
      <c r="D17" s="31">
        <f>IF('メニュー原価'!C304="","",IF('メニュー原価'!C322="","",'メニュー原価'!C322))</f>
        <v/>
      </c>
      <c r="E17" s="32">
        <f>IF('メニュー原価'!C304="","",IF('メニュー原価'!C326="","",'メニュー原価'!C326))</f>
        <v/>
      </c>
      <c r="F17" s="33">
        <f>IF('メニュー原価'!C304="","",IF('メニュー原価'!C323="","",'メニュー原価'!C323))</f>
        <v/>
      </c>
      <c r="G17" s="34">
        <f>IF('メニュー原価'!C304="","",IF('メニュー原価'!C327="","",'メニュー原価'!C327))</f>
        <v/>
      </c>
      <c r="H17" s="7">
        <f>IF('メニュー原価'!C304="","",IF('メニュー原価'!E326="","",'メニュー原価'!E326))</f>
        <v/>
      </c>
      <c r="I17" s="30">
        <f>IF('メニュー原価'!C304="","",IF('メニュー原価'!C328="","",'メニュー原価'!C328))</f>
        <v/>
      </c>
    </row>
    <row r="18">
      <c r="A18" s="7" t="n">
        <v>14</v>
      </c>
      <c r="B18" s="7">
        <f>IF('メニュー原価'!C329="","",'メニュー原価'!C329)</f>
        <v/>
      </c>
      <c r="C18" s="30">
        <f>IF('メニュー原価'!C329="","",IF('メニュー原価'!C330="","",'メニュー原価'!C330))</f>
        <v/>
      </c>
      <c r="D18" s="31">
        <f>IF('メニュー原価'!C329="","",IF('メニュー原価'!C347="","",'メニュー原価'!C347))</f>
        <v/>
      </c>
      <c r="E18" s="32">
        <f>IF('メニュー原価'!C329="","",IF('メニュー原価'!C351="","",'メニュー原価'!C351))</f>
        <v/>
      </c>
      <c r="F18" s="33">
        <f>IF('メニュー原価'!C329="","",IF('メニュー原価'!C348="","",'メニュー原価'!C348))</f>
        <v/>
      </c>
      <c r="G18" s="34">
        <f>IF('メニュー原価'!C329="","",IF('メニュー原価'!C352="","",'メニュー原価'!C352))</f>
        <v/>
      </c>
      <c r="H18" s="7">
        <f>IF('メニュー原価'!C329="","",IF('メニュー原価'!E351="","",'メニュー原価'!E351))</f>
        <v/>
      </c>
      <c r="I18" s="30">
        <f>IF('メニュー原価'!C329="","",IF('メニュー原価'!C353="","",'メニュー原価'!C353))</f>
        <v/>
      </c>
    </row>
    <row r="19">
      <c r="A19" s="7" t="n">
        <v>15</v>
      </c>
      <c r="B19" s="7">
        <f>IF('メニュー原価'!C354="","",'メニュー原価'!C354)</f>
        <v/>
      </c>
      <c r="C19" s="30">
        <f>IF('メニュー原価'!C354="","",IF('メニュー原価'!C355="","",'メニュー原価'!C355))</f>
        <v/>
      </c>
      <c r="D19" s="31">
        <f>IF('メニュー原価'!C354="","",IF('メニュー原価'!C372="","",'メニュー原価'!C372))</f>
        <v/>
      </c>
      <c r="E19" s="32">
        <f>IF('メニュー原価'!C354="","",IF('メニュー原価'!C376="","",'メニュー原価'!C376))</f>
        <v/>
      </c>
      <c r="F19" s="33">
        <f>IF('メニュー原価'!C354="","",IF('メニュー原価'!C373="","",'メニュー原価'!C373))</f>
        <v/>
      </c>
      <c r="G19" s="34">
        <f>IF('メニュー原価'!C354="","",IF('メニュー原価'!C377="","",'メニュー原価'!C377))</f>
        <v/>
      </c>
      <c r="H19" s="7">
        <f>IF('メニュー原価'!C354="","",IF('メニュー原価'!E376="","",'メニュー原価'!E376))</f>
        <v/>
      </c>
      <c r="I19" s="30">
        <f>IF('メニュー原価'!C354="","",IF('メニュー原価'!C378="","",'メニュー原価'!C378))</f>
        <v/>
      </c>
    </row>
    <row r="20">
      <c r="A20" s="7" t="n">
        <v>16</v>
      </c>
      <c r="B20" s="7">
        <f>IF('メニュー原価'!C379="","",'メニュー原価'!C379)</f>
        <v/>
      </c>
      <c r="C20" s="30">
        <f>IF('メニュー原価'!C379="","",IF('メニュー原価'!C380="","",'メニュー原価'!C380))</f>
        <v/>
      </c>
      <c r="D20" s="31">
        <f>IF('メニュー原価'!C379="","",IF('メニュー原価'!C397="","",'メニュー原価'!C397))</f>
        <v/>
      </c>
      <c r="E20" s="32">
        <f>IF('メニュー原価'!C379="","",IF('メニュー原価'!C401="","",'メニュー原価'!C401))</f>
        <v/>
      </c>
      <c r="F20" s="33">
        <f>IF('メニュー原価'!C379="","",IF('メニュー原価'!C398="","",'メニュー原価'!C398))</f>
        <v/>
      </c>
      <c r="G20" s="34">
        <f>IF('メニュー原価'!C379="","",IF('メニュー原価'!C402="","",'メニュー原価'!C402))</f>
        <v/>
      </c>
      <c r="H20" s="7">
        <f>IF('メニュー原価'!C379="","",IF('メニュー原価'!E401="","",'メニュー原価'!E401))</f>
        <v/>
      </c>
      <c r="I20" s="30">
        <f>IF('メニュー原価'!C379="","",IF('メニュー原価'!C403="","",'メニュー原価'!C403))</f>
        <v/>
      </c>
    </row>
    <row r="21">
      <c r="A21" s="7" t="n">
        <v>17</v>
      </c>
      <c r="B21" s="7">
        <f>IF('メニュー原価'!C404="","",'メニュー原価'!C404)</f>
        <v/>
      </c>
      <c r="C21" s="30">
        <f>IF('メニュー原価'!C404="","",IF('メニュー原価'!C405="","",'メニュー原価'!C405))</f>
        <v/>
      </c>
      <c r="D21" s="31">
        <f>IF('メニュー原価'!C404="","",IF('メニュー原価'!C422="","",'メニュー原価'!C422))</f>
        <v/>
      </c>
      <c r="E21" s="32">
        <f>IF('メニュー原価'!C404="","",IF('メニュー原価'!C426="","",'メニュー原価'!C426))</f>
        <v/>
      </c>
      <c r="F21" s="33">
        <f>IF('メニュー原価'!C404="","",IF('メニュー原価'!C423="","",'メニュー原価'!C423))</f>
        <v/>
      </c>
      <c r="G21" s="34">
        <f>IF('メニュー原価'!C404="","",IF('メニュー原価'!C427="","",'メニュー原価'!C427))</f>
        <v/>
      </c>
      <c r="H21" s="7">
        <f>IF('メニュー原価'!C404="","",IF('メニュー原価'!E426="","",'メニュー原価'!E426))</f>
        <v/>
      </c>
      <c r="I21" s="30">
        <f>IF('メニュー原価'!C404="","",IF('メニュー原価'!C428="","",'メニュー原価'!C428))</f>
        <v/>
      </c>
    </row>
    <row r="22">
      <c r="A22" s="7" t="n">
        <v>18</v>
      </c>
      <c r="B22" s="7">
        <f>IF('メニュー原価'!C429="","",'メニュー原価'!C429)</f>
        <v/>
      </c>
      <c r="C22" s="30">
        <f>IF('メニュー原価'!C429="","",IF('メニュー原価'!C430="","",'メニュー原価'!C430))</f>
        <v/>
      </c>
      <c r="D22" s="31">
        <f>IF('メニュー原価'!C429="","",IF('メニュー原価'!C447="","",'メニュー原価'!C447))</f>
        <v/>
      </c>
      <c r="E22" s="32">
        <f>IF('メニュー原価'!C429="","",IF('メニュー原価'!C451="","",'メニュー原価'!C451))</f>
        <v/>
      </c>
      <c r="F22" s="33">
        <f>IF('メニュー原価'!C429="","",IF('メニュー原価'!C448="","",'メニュー原価'!C448))</f>
        <v/>
      </c>
      <c r="G22" s="34">
        <f>IF('メニュー原価'!C429="","",IF('メニュー原価'!C452="","",'メニュー原価'!C452))</f>
        <v/>
      </c>
      <c r="H22" s="7">
        <f>IF('メニュー原価'!C429="","",IF('メニュー原価'!E451="","",'メニュー原価'!E451))</f>
        <v/>
      </c>
      <c r="I22" s="30">
        <f>IF('メニュー原価'!C429="","",IF('メニュー原価'!C453="","",'メニュー原価'!C453))</f>
        <v/>
      </c>
    </row>
    <row r="23">
      <c r="A23" s="7" t="n">
        <v>19</v>
      </c>
      <c r="B23" s="7">
        <f>IF('メニュー原価'!C454="","",'メニュー原価'!C454)</f>
        <v/>
      </c>
      <c r="C23" s="30">
        <f>IF('メニュー原価'!C454="","",IF('メニュー原価'!C455="","",'メニュー原価'!C455))</f>
        <v/>
      </c>
      <c r="D23" s="31">
        <f>IF('メニュー原価'!C454="","",IF('メニュー原価'!C472="","",'メニュー原価'!C472))</f>
        <v/>
      </c>
      <c r="E23" s="32">
        <f>IF('メニュー原価'!C454="","",IF('メニュー原価'!C476="","",'メニュー原価'!C476))</f>
        <v/>
      </c>
      <c r="F23" s="33">
        <f>IF('メニュー原価'!C454="","",IF('メニュー原価'!C473="","",'メニュー原価'!C473))</f>
        <v/>
      </c>
      <c r="G23" s="34">
        <f>IF('メニュー原価'!C454="","",IF('メニュー原価'!C477="","",'メニュー原価'!C477))</f>
        <v/>
      </c>
      <c r="H23" s="7">
        <f>IF('メニュー原価'!C454="","",IF('メニュー原価'!E476="","",'メニュー原価'!E476))</f>
        <v/>
      </c>
      <c r="I23" s="30">
        <f>IF('メニュー原価'!C454="","",IF('メニュー原価'!C478="","",'メニュー原価'!C478))</f>
        <v/>
      </c>
    </row>
    <row r="24">
      <c r="A24" s="7" t="n">
        <v>20</v>
      </c>
      <c r="B24" s="7">
        <f>IF('メニュー原価'!C479="","",'メニュー原価'!C479)</f>
        <v/>
      </c>
      <c r="C24" s="30">
        <f>IF('メニュー原価'!C479="","",IF('メニュー原価'!C480="","",'メニュー原価'!C480))</f>
        <v/>
      </c>
      <c r="D24" s="31">
        <f>IF('メニュー原価'!C479="","",IF('メニュー原価'!C497="","",'メニュー原価'!C497))</f>
        <v/>
      </c>
      <c r="E24" s="32">
        <f>IF('メニュー原価'!C479="","",IF('メニュー原価'!C501="","",'メニュー原価'!C501))</f>
        <v/>
      </c>
      <c r="F24" s="33">
        <f>IF('メニュー原価'!C479="","",IF('メニュー原価'!C498="","",'メニュー原価'!C498))</f>
        <v/>
      </c>
      <c r="G24" s="34">
        <f>IF('メニュー原価'!C479="","",IF('メニュー原価'!C502="","",'メニュー原価'!C502))</f>
        <v/>
      </c>
      <c r="H24" s="7">
        <f>IF('メニュー原価'!C479="","",IF('メニュー原価'!E501="","",'メニュー原価'!E501))</f>
        <v/>
      </c>
      <c r="I24" s="30">
        <f>IF('メニュー原価'!C479="","",IF('メニュー原価'!C503="","",'メニュー原価'!C503))</f>
        <v/>
      </c>
    </row>
    <row r="25">
      <c r="A25" s="7" t="n">
        <v>21</v>
      </c>
      <c r="B25" s="7">
        <f>IF('メニュー原価'!C504="","",'メニュー原価'!C504)</f>
        <v/>
      </c>
      <c r="C25" s="30">
        <f>IF('メニュー原価'!C504="","",IF('メニュー原価'!C505="","",'メニュー原価'!C505))</f>
        <v/>
      </c>
      <c r="D25" s="31">
        <f>IF('メニュー原価'!C504="","",IF('メニュー原価'!C522="","",'メニュー原価'!C522))</f>
        <v/>
      </c>
      <c r="E25" s="32">
        <f>IF('メニュー原価'!C504="","",IF('メニュー原価'!C526="","",'メニュー原価'!C526))</f>
        <v/>
      </c>
      <c r="F25" s="33">
        <f>IF('メニュー原価'!C504="","",IF('メニュー原価'!C523="","",'メニュー原価'!C523))</f>
        <v/>
      </c>
      <c r="G25" s="34">
        <f>IF('メニュー原価'!C504="","",IF('メニュー原価'!C527="","",'メニュー原価'!C527))</f>
        <v/>
      </c>
      <c r="H25" s="7">
        <f>IF('メニュー原価'!C504="","",IF('メニュー原価'!E526="","",'メニュー原価'!E526))</f>
        <v/>
      </c>
      <c r="I25" s="30">
        <f>IF('メニュー原価'!C504="","",IF('メニュー原価'!C528="","",'メニュー原価'!C528))</f>
        <v/>
      </c>
    </row>
    <row r="26">
      <c r="A26" s="7" t="n">
        <v>22</v>
      </c>
      <c r="B26" s="7">
        <f>IF('メニュー原価'!C529="","",'メニュー原価'!C529)</f>
        <v/>
      </c>
      <c r="C26" s="30">
        <f>IF('メニュー原価'!C529="","",IF('メニュー原価'!C530="","",'メニュー原価'!C530))</f>
        <v/>
      </c>
      <c r="D26" s="31">
        <f>IF('メニュー原価'!C529="","",IF('メニュー原価'!C547="","",'メニュー原価'!C547))</f>
        <v/>
      </c>
      <c r="E26" s="32">
        <f>IF('メニュー原価'!C529="","",IF('メニュー原価'!C551="","",'メニュー原価'!C551))</f>
        <v/>
      </c>
      <c r="F26" s="33">
        <f>IF('メニュー原価'!C529="","",IF('メニュー原価'!C548="","",'メニュー原価'!C548))</f>
        <v/>
      </c>
      <c r="G26" s="34">
        <f>IF('メニュー原価'!C529="","",IF('メニュー原価'!C552="","",'メニュー原価'!C552))</f>
        <v/>
      </c>
      <c r="H26" s="7">
        <f>IF('メニュー原価'!C529="","",IF('メニュー原価'!E551="","",'メニュー原価'!E551))</f>
        <v/>
      </c>
      <c r="I26" s="30">
        <f>IF('メニュー原価'!C529="","",IF('メニュー原価'!C553="","",'メニュー原価'!C553))</f>
        <v/>
      </c>
    </row>
    <row r="27">
      <c r="A27" s="7" t="n">
        <v>23</v>
      </c>
      <c r="B27" s="7">
        <f>IF('メニュー原価'!C554="","",'メニュー原価'!C554)</f>
        <v/>
      </c>
      <c r="C27" s="30">
        <f>IF('メニュー原価'!C554="","",IF('メニュー原価'!C555="","",'メニュー原価'!C555))</f>
        <v/>
      </c>
      <c r="D27" s="31">
        <f>IF('メニュー原価'!C554="","",IF('メニュー原価'!C572="","",'メニュー原価'!C572))</f>
        <v/>
      </c>
      <c r="E27" s="32">
        <f>IF('メニュー原価'!C554="","",IF('メニュー原価'!C576="","",'メニュー原価'!C576))</f>
        <v/>
      </c>
      <c r="F27" s="33">
        <f>IF('メニュー原価'!C554="","",IF('メニュー原価'!C573="","",'メニュー原価'!C573))</f>
        <v/>
      </c>
      <c r="G27" s="34">
        <f>IF('メニュー原価'!C554="","",IF('メニュー原価'!C577="","",'メニュー原価'!C577))</f>
        <v/>
      </c>
      <c r="H27" s="7">
        <f>IF('メニュー原価'!C554="","",IF('メニュー原価'!E576="","",'メニュー原価'!E576))</f>
        <v/>
      </c>
      <c r="I27" s="30">
        <f>IF('メニュー原価'!C554="","",IF('メニュー原価'!C578="","",'メニュー原価'!C578))</f>
        <v/>
      </c>
    </row>
    <row r="28">
      <c r="A28" s="7" t="n">
        <v>24</v>
      </c>
      <c r="B28" s="7">
        <f>IF('メニュー原価'!C579="","",'メニュー原価'!C579)</f>
        <v/>
      </c>
      <c r="C28" s="30">
        <f>IF('メニュー原価'!C579="","",IF('メニュー原価'!C580="","",'メニュー原価'!C580))</f>
        <v/>
      </c>
      <c r="D28" s="31">
        <f>IF('メニュー原価'!C579="","",IF('メニュー原価'!C597="","",'メニュー原価'!C597))</f>
        <v/>
      </c>
      <c r="E28" s="32">
        <f>IF('メニュー原価'!C579="","",IF('メニュー原価'!C601="","",'メニュー原価'!C601))</f>
        <v/>
      </c>
      <c r="F28" s="33">
        <f>IF('メニュー原価'!C579="","",IF('メニュー原価'!C598="","",'メニュー原価'!C598))</f>
        <v/>
      </c>
      <c r="G28" s="34">
        <f>IF('メニュー原価'!C579="","",IF('メニュー原価'!C602="","",'メニュー原価'!C602))</f>
        <v/>
      </c>
      <c r="H28" s="7">
        <f>IF('メニュー原価'!C579="","",IF('メニュー原価'!E601="","",'メニュー原価'!E601))</f>
        <v/>
      </c>
      <c r="I28" s="30">
        <f>IF('メニュー原価'!C579="","",IF('メニュー原価'!C603="","",'メニュー原価'!C603))</f>
        <v/>
      </c>
    </row>
    <row r="29">
      <c r="A29" s="7" t="n">
        <v>25</v>
      </c>
      <c r="B29" s="7">
        <f>IF('メニュー原価'!C604="","",'メニュー原価'!C604)</f>
        <v/>
      </c>
      <c r="C29" s="30">
        <f>IF('メニュー原価'!C604="","",IF('メニュー原価'!C605="","",'メニュー原価'!C605))</f>
        <v/>
      </c>
      <c r="D29" s="31">
        <f>IF('メニュー原価'!C604="","",IF('メニュー原価'!C622="","",'メニュー原価'!C622))</f>
        <v/>
      </c>
      <c r="E29" s="32">
        <f>IF('メニュー原価'!C604="","",IF('メニュー原価'!C626="","",'メニュー原価'!C626))</f>
        <v/>
      </c>
      <c r="F29" s="33">
        <f>IF('メニュー原価'!C604="","",IF('メニュー原価'!C623="","",'メニュー原価'!C623))</f>
        <v/>
      </c>
      <c r="G29" s="34">
        <f>IF('メニュー原価'!C604="","",IF('メニュー原価'!C627="","",'メニュー原価'!C627))</f>
        <v/>
      </c>
      <c r="H29" s="7">
        <f>IF('メニュー原価'!C604="","",IF('メニュー原価'!E626="","",'メニュー原価'!E626))</f>
        <v/>
      </c>
      <c r="I29" s="30">
        <f>IF('メニュー原価'!C604="","",IF('メニュー原価'!C628="","",'メニュー原価'!C628))</f>
        <v/>
      </c>
    </row>
    <row r="30">
      <c r="A30" s="7" t="n">
        <v>26</v>
      </c>
      <c r="B30" s="7">
        <f>IF('メニュー原価'!C629="","",'メニュー原価'!C629)</f>
        <v/>
      </c>
      <c r="C30" s="30">
        <f>IF('メニュー原価'!C629="","",IF('メニュー原価'!C630="","",'メニュー原価'!C630))</f>
        <v/>
      </c>
      <c r="D30" s="31">
        <f>IF('メニュー原価'!C629="","",IF('メニュー原価'!C647="","",'メニュー原価'!C647))</f>
        <v/>
      </c>
      <c r="E30" s="32">
        <f>IF('メニュー原価'!C629="","",IF('メニュー原価'!C651="","",'メニュー原価'!C651))</f>
        <v/>
      </c>
      <c r="F30" s="33">
        <f>IF('メニュー原価'!C629="","",IF('メニュー原価'!C648="","",'メニュー原価'!C648))</f>
        <v/>
      </c>
      <c r="G30" s="34">
        <f>IF('メニュー原価'!C629="","",IF('メニュー原価'!C652="","",'メニュー原価'!C652))</f>
        <v/>
      </c>
      <c r="H30" s="7">
        <f>IF('メニュー原価'!C629="","",IF('メニュー原価'!E651="","",'メニュー原価'!E651))</f>
        <v/>
      </c>
      <c r="I30" s="30">
        <f>IF('メニュー原価'!C629="","",IF('メニュー原価'!C653="","",'メニュー原価'!C653))</f>
        <v/>
      </c>
    </row>
    <row r="31">
      <c r="A31" s="7" t="n">
        <v>27</v>
      </c>
      <c r="B31" s="7">
        <f>IF('メニュー原価'!C654="","",'メニュー原価'!C654)</f>
        <v/>
      </c>
      <c r="C31" s="30">
        <f>IF('メニュー原価'!C654="","",IF('メニュー原価'!C655="","",'メニュー原価'!C655))</f>
        <v/>
      </c>
      <c r="D31" s="31">
        <f>IF('メニュー原価'!C654="","",IF('メニュー原価'!C672="","",'メニュー原価'!C672))</f>
        <v/>
      </c>
      <c r="E31" s="32">
        <f>IF('メニュー原価'!C654="","",IF('メニュー原価'!C676="","",'メニュー原価'!C676))</f>
        <v/>
      </c>
      <c r="F31" s="33">
        <f>IF('メニュー原価'!C654="","",IF('メニュー原価'!C673="","",'メニュー原価'!C673))</f>
        <v/>
      </c>
      <c r="G31" s="34">
        <f>IF('メニュー原価'!C654="","",IF('メニュー原価'!C677="","",'メニュー原価'!C677))</f>
        <v/>
      </c>
      <c r="H31" s="7">
        <f>IF('メニュー原価'!C654="","",IF('メニュー原価'!E676="","",'メニュー原価'!E676))</f>
        <v/>
      </c>
      <c r="I31" s="30">
        <f>IF('メニュー原価'!C654="","",IF('メニュー原価'!C678="","",'メニュー原価'!C678))</f>
        <v/>
      </c>
    </row>
    <row r="32">
      <c r="A32" s="7" t="n">
        <v>28</v>
      </c>
      <c r="B32" s="7">
        <f>IF('メニュー原価'!C679="","",'メニュー原価'!C679)</f>
        <v/>
      </c>
      <c r="C32" s="30">
        <f>IF('メニュー原価'!C679="","",IF('メニュー原価'!C680="","",'メニュー原価'!C680))</f>
        <v/>
      </c>
      <c r="D32" s="31">
        <f>IF('メニュー原価'!C679="","",IF('メニュー原価'!C697="","",'メニュー原価'!C697))</f>
        <v/>
      </c>
      <c r="E32" s="32">
        <f>IF('メニュー原価'!C679="","",IF('メニュー原価'!C701="","",'メニュー原価'!C701))</f>
        <v/>
      </c>
      <c r="F32" s="33">
        <f>IF('メニュー原価'!C679="","",IF('メニュー原価'!C698="","",'メニュー原価'!C698))</f>
        <v/>
      </c>
      <c r="G32" s="34">
        <f>IF('メニュー原価'!C679="","",IF('メニュー原価'!C702="","",'メニュー原価'!C702))</f>
        <v/>
      </c>
      <c r="H32" s="7">
        <f>IF('メニュー原価'!C679="","",IF('メニュー原価'!E701="","",'メニュー原価'!E701))</f>
        <v/>
      </c>
      <c r="I32" s="30">
        <f>IF('メニュー原価'!C679="","",IF('メニュー原価'!C703="","",'メニュー原価'!C703))</f>
        <v/>
      </c>
    </row>
    <row r="33">
      <c r="A33" s="7" t="n">
        <v>29</v>
      </c>
      <c r="B33" s="7">
        <f>IF('メニュー原価'!C704="","",'メニュー原価'!C704)</f>
        <v/>
      </c>
      <c r="C33" s="30">
        <f>IF('メニュー原価'!C704="","",IF('メニュー原価'!C705="","",'メニュー原価'!C705))</f>
        <v/>
      </c>
      <c r="D33" s="31">
        <f>IF('メニュー原価'!C704="","",IF('メニュー原価'!C722="","",'メニュー原価'!C722))</f>
        <v/>
      </c>
      <c r="E33" s="32">
        <f>IF('メニュー原価'!C704="","",IF('メニュー原価'!C726="","",'メニュー原価'!C726))</f>
        <v/>
      </c>
      <c r="F33" s="33">
        <f>IF('メニュー原価'!C704="","",IF('メニュー原価'!C723="","",'メニュー原価'!C723))</f>
        <v/>
      </c>
      <c r="G33" s="34">
        <f>IF('メニュー原価'!C704="","",IF('メニュー原価'!C727="","",'メニュー原価'!C727))</f>
        <v/>
      </c>
      <c r="H33" s="7">
        <f>IF('メニュー原価'!C704="","",IF('メニュー原価'!E726="","",'メニュー原価'!E726))</f>
        <v/>
      </c>
      <c r="I33" s="30">
        <f>IF('メニュー原価'!C704="","",IF('メニュー原価'!C728="","",'メニュー原価'!C728))</f>
        <v/>
      </c>
    </row>
    <row r="34">
      <c r="A34" s="7" t="n">
        <v>30</v>
      </c>
      <c r="B34" s="7">
        <f>IF('メニュー原価'!C729="","",'メニュー原価'!C729)</f>
        <v/>
      </c>
      <c r="C34" s="30">
        <f>IF('メニュー原価'!C729="","",IF('メニュー原価'!C730="","",'メニュー原価'!C730))</f>
        <v/>
      </c>
      <c r="D34" s="31">
        <f>IF('メニュー原価'!C729="","",IF('メニュー原価'!C747="","",'メニュー原価'!C747))</f>
        <v/>
      </c>
      <c r="E34" s="32">
        <f>IF('メニュー原価'!C729="","",IF('メニュー原価'!C751="","",'メニュー原価'!C751))</f>
        <v/>
      </c>
      <c r="F34" s="33">
        <f>IF('メニュー原価'!C729="","",IF('メニュー原価'!C748="","",'メニュー原価'!C748))</f>
        <v/>
      </c>
      <c r="G34" s="34">
        <f>IF('メニュー原価'!C729="","",IF('メニュー原価'!C752="","",'メニュー原価'!C752))</f>
        <v/>
      </c>
      <c r="H34" s="7">
        <f>IF('メニュー原価'!C729="","",IF('メニュー原価'!E751="","",'メニュー原価'!E751))</f>
        <v/>
      </c>
      <c r="I34" s="30">
        <f>IF('メニュー原価'!C729="","",IF('メニュー原価'!C753="","",'メニュー原価'!C753))</f>
        <v/>
      </c>
    </row>
  </sheetData>
  <conditionalFormatting sqref="H5:H34">
    <cfRule type="cellIs" priority="1" operator="equal" dxfId="0">
      <formula>"超過"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2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60" customWidth="1" min="4" max="4"/>
  </cols>
  <sheetData>
    <row r="1">
      <c r="B1" s="4" t="inlineStr">
        <is>
          <t>設定</t>
        </is>
      </c>
    </row>
    <row r="2">
      <c r="B2" s="35" t="inlineStr">
        <is>
          <t>店名：〇〇食堂（見本）</t>
        </is>
      </c>
    </row>
    <row r="3">
      <c r="B3" s="15" t="inlineStr">
        <is>
          <t>項目</t>
        </is>
      </c>
      <c r="C3" s="15" t="inlineStr">
        <is>
          <t>【入力】値</t>
        </is>
      </c>
      <c r="D3" s="15" t="inlineStr">
        <is>
          <t>説明</t>
        </is>
      </c>
    </row>
    <row r="4">
      <c r="B4" s="7" t="inlineStr">
        <is>
          <t>目標原価率</t>
        </is>
      </c>
      <c r="C4" s="10" t="n">
        <v>0.3</v>
      </c>
      <c r="D4" s="19" t="inlineStr">
        <is>
          <t>メニューごとに空欄のときに使う目標。30% または 30 と入力できます。</t>
        </is>
      </c>
    </row>
    <row r="5">
      <c r="B5" s="7" t="inlineStr">
        <is>
          <t>売価の消費税率</t>
        </is>
      </c>
      <c r="C5" s="10" t="n">
        <v>0.1</v>
      </c>
      <c r="D5" s="19" t="inlineStr">
        <is>
          <t>販売価格（税込）を税抜に直すときの税率。店内飲食は10%。</t>
        </is>
      </c>
    </row>
    <row r="6">
      <c r="B6" s="7" t="inlineStr">
        <is>
          <t>仕入の消費税率（初期値）</t>
        </is>
      </c>
      <c r="C6" s="10" t="n">
        <v>0.08</v>
      </c>
      <c r="D6" s="19" t="inlineStr">
        <is>
          <t>材料マスタの税率が空欄のときに使う税率。食品は8%。</t>
        </is>
      </c>
    </row>
    <row r="9">
      <c r="B9" s="5" t="inlineStr">
        <is>
          <t>見本の数値はすべて架空です。</t>
        </is>
      </c>
    </row>
    <row r="10">
      <c r="B10" s="5" t="inlineStr">
        <is>
          <t>税区分のリスト（消さないでください）</t>
        </is>
      </c>
    </row>
    <row r="11">
      <c r="B11" s="35" t="inlineStr">
        <is>
          <t>税込</t>
        </is>
      </c>
    </row>
    <row r="12">
      <c r="B12" s="35" t="inlineStr">
        <is>
          <t>税抜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MenuBridge</dc:creator>
  <dc:title xmlns:dc="http://purl.org/dc/elements/1.1/">原価率計算シート</dc:title>
  <dcterms:created xmlns:dcterms="http://purl.org/dc/terms/" xmlns:xsi="http://www.w3.org/2001/XMLSchema-instance" xsi:type="dcterms:W3CDTF">2026-10-11T09:59:38Z</dcterms:created>
  <dcterms:modified xmlns:dcterms="http://purl.org/dc/terms/" xmlns:xsi="http://www.w3.org/2001/XMLSchema-instance" xsi:type="dcterms:W3CDTF">2026-10-11T09:59:39Z</dcterms:modified>
</cp:coreProperties>
</file>